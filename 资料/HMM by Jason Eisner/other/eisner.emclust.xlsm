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fileSharing readOnlyRecommended="1"/>
  <workbookPr codeName="ThisWorkbook"/>
  <mc:AlternateContent xmlns:mc="http://schemas.openxmlformats.org/markup-compatibility/2006">
    <mc:Choice Requires="x15">
      <x15ac:absPath xmlns:x15ac="http://schemas.microsoft.com/office/spreadsheetml/2010/11/ac" url="E:\465\"/>
    </mc:Choice>
  </mc:AlternateContent>
  <bookViews>
    <workbookView xWindow="0" yWindow="9108" windowWidth="19320" windowHeight="4608"/>
  </bookViews>
  <sheets>
    <sheet name="Animation" sheetId="2" r:id="rId1"/>
    <sheet name="Calculation" sheetId="1" r:id="rId2"/>
  </sheets>
  <calcPr calcId="171027"/>
</workbook>
</file>

<file path=xl/calcChain.xml><?xml version="1.0" encoding="utf-8"?>
<calcChain xmlns="http://schemas.openxmlformats.org/spreadsheetml/2006/main">
  <c r="E11" i="2" l="1"/>
  <c r="E12" i="2"/>
  <c r="C55" i="2"/>
  <c r="E55" i="2"/>
  <c r="B56" i="2"/>
  <c r="B7" i="1"/>
  <c r="C7" i="1"/>
  <c r="D55" i="2" s="1"/>
  <c r="D7" i="1"/>
  <c r="E7" i="1"/>
  <c r="P7" i="1" s="1"/>
  <c r="B8" i="1"/>
  <c r="F55" i="2" s="1"/>
  <c r="C8" i="1"/>
  <c r="G55" i="2" s="1"/>
  <c r="D8" i="1"/>
  <c r="H55" i="2" s="1"/>
  <c r="O8" i="1"/>
  <c r="Z8" i="1" s="1" a="1"/>
  <c r="Z8" i="1" s="1"/>
  <c r="O8" i="1" a="1"/>
  <c r="B9" i="1"/>
  <c r="I55" i="2" s="1"/>
  <c r="C9" i="1"/>
  <c r="D9" i="1"/>
  <c r="K55" i="2" s="1"/>
  <c r="O9" i="1"/>
  <c r="O9" i="1" a="1"/>
  <c r="L11" i="1"/>
  <c r="W11" i="1"/>
  <c r="AH11" i="1" s="1"/>
  <c r="AS11" i="1" s="1"/>
  <c r="BD11" i="1" s="1"/>
  <c r="BO11" i="1" s="1"/>
  <c r="BZ11" i="1" s="1"/>
  <c r="CK11" i="1" s="1"/>
  <c r="CV11" i="1" s="1"/>
  <c r="DG11" i="1" s="1"/>
  <c r="DR11" i="1" s="1"/>
  <c r="EC11" i="1" s="1"/>
  <c r="EN11" i="1" s="1"/>
  <c r="EY11" i="1" s="1"/>
  <c r="FJ11" i="1" s="1"/>
  <c r="FU11" i="1" s="1"/>
  <c r="GF11" i="1" s="1"/>
  <c r="GQ11" i="1" s="1"/>
  <c r="HB11" i="1" s="1"/>
  <c r="HM11" i="1" s="1"/>
  <c r="B17" i="1"/>
  <c r="C17" i="1"/>
  <c r="F17" i="1" s="1"/>
  <c r="E17" i="1"/>
  <c r="B18" i="1"/>
  <c r="C18" i="1"/>
  <c r="F18" i="1" s="1"/>
  <c r="D18" i="1"/>
  <c r="G18" i="1" s="1"/>
  <c r="E18" i="1"/>
  <c r="B19" i="1"/>
  <c r="E19" i="1" s="1"/>
  <c r="C19" i="1"/>
  <c r="F19" i="1" s="1"/>
  <c r="B20" i="1"/>
  <c r="C20" i="1"/>
  <c r="D20" i="1"/>
  <c r="G20" i="1" s="1"/>
  <c r="E20" i="1"/>
  <c r="F20" i="1"/>
  <c r="B21" i="1"/>
  <c r="E21" i="1" s="1"/>
  <c r="C21" i="1"/>
  <c r="D21" i="1"/>
  <c r="F21" i="1"/>
  <c r="G21" i="1"/>
  <c r="B22" i="1"/>
  <c r="C22" i="1"/>
  <c r="D22" i="1"/>
  <c r="G22" i="1" s="1"/>
  <c r="E22" i="1"/>
  <c r="F22" i="1"/>
  <c r="B23" i="1"/>
  <c r="E23" i="1" s="1"/>
  <c r="C23" i="1"/>
  <c r="F23" i="1" s="1"/>
  <c r="D23" i="1"/>
  <c r="G23" i="1"/>
  <c r="B24" i="1"/>
  <c r="C24" i="1"/>
  <c r="F24" i="1" s="1"/>
  <c r="H24" i="1" s="1"/>
  <c r="D24" i="1"/>
  <c r="G24" i="1" s="1"/>
  <c r="E24" i="1"/>
  <c r="B25" i="1"/>
  <c r="C25" i="1"/>
  <c r="F25" i="1" s="1"/>
  <c r="D25" i="1"/>
  <c r="E25" i="1"/>
  <c r="G25" i="1"/>
  <c r="B26" i="1"/>
  <c r="C26" i="1"/>
  <c r="F26" i="1" s="1"/>
  <c r="D26" i="1"/>
  <c r="E26" i="1"/>
  <c r="H26" i="1" s="1"/>
  <c r="G26" i="1"/>
  <c r="K26" i="1" s="1"/>
  <c r="R28" i="2" s="1"/>
  <c r="L52" i="1"/>
  <c r="W52" i="1"/>
  <c r="AH52" i="1" s="1"/>
  <c r="AS52" i="1" s="1"/>
  <c r="BD52" i="1" s="1"/>
  <c r="H25" i="1" l="1"/>
  <c r="K25" i="1" s="1"/>
  <c r="R27" i="2" s="1"/>
  <c r="I25" i="1"/>
  <c r="P27" i="2" s="1"/>
  <c r="K24" i="1"/>
  <c r="R26" i="2" s="1"/>
  <c r="I26" i="1"/>
  <c r="P28" i="2" s="1"/>
  <c r="J23" i="1"/>
  <c r="Q25" i="2" s="1"/>
  <c r="H22" i="1"/>
  <c r="J22" i="1" s="1"/>
  <c r="Q24" i="2" s="1"/>
  <c r="J24" i="1"/>
  <c r="Q26" i="2" s="1"/>
  <c r="J26" i="1"/>
  <c r="Q28" i="2" s="1"/>
  <c r="I24" i="1"/>
  <c r="P26" i="2" s="1"/>
  <c r="H23" i="1"/>
  <c r="K23" i="1" s="1"/>
  <c r="R25" i="2" s="1"/>
  <c r="I23" i="1"/>
  <c r="P25" i="2" s="1"/>
  <c r="K22" i="1"/>
  <c r="R24" i="2" s="1"/>
  <c r="H18" i="1"/>
  <c r="J18" i="1" s="1"/>
  <c r="Q20" i="2" s="1"/>
  <c r="H21" i="1"/>
  <c r="K21" i="1" s="1"/>
  <c r="R23" i="2" s="1"/>
  <c r="H20" i="1"/>
  <c r="J20" i="1" s="1"/>
  <c r="Q22" i="2" s="1"/>
  <c r="I20" i="1"/>
  <c r="P22" i="2" s="1"/>
  <c r="K20" i="1"/>
  <c r="R22" i="2" s="1"/>
  <c r="K18" i="1"/>
  <c r="R20" i="2" s="1"/>
  <c r="H17" i="1"/>
  <c r="I17" i="1" s="1"/>
  <c r="J55" i="2"/>
  <c r="D17" i="1"/>
  <c r="G17" i="1" s="1"/>
  <c r="D19" i="1"/>
  <c r="G19" i="1" s="1"/>
  <c r="Z9" i="1" a="1"/>
  <c r="Z9" i="1" s="1"/>
  <c r="K56" i="2"/>
  <c r="Z7" i="1" a="1"/>
  <c r="Z7" i="1" s="1"/>
  <c r="AA7" i="1"/>
  <c r="O7" i="1" a="1"/>
  <c r="O7" i="1" s="1"/>
  <c r="E56" i="2" s="1"/>
  <c r="B57" i="2"/>
  <c r="H56" i="2"/>
  <c r="H57" i="2" l="1"/>
  <c r="B58" i="2"/>
  <c r="E57" i="2"/>
  <c r="K57" i="2"/>
  <c r="P19" i="2"/>
  <c r="K17" i="1"/>
  <c r="AL7" i="1"/>
  <c r="AK8" i="1" a="1"/>
  <c r="AK8" i="1" s="1"/>
  <c r="AK9" i="1" a="1"/>
  <c r="AK9" i="1" s="1"/>
  <c r="AK7" i="1" a="1"/>
  <c r="AK7" i="1" s="1"/>
  <c r="I18" i="1"/>
  <c r="P20" i="2" s="1"/>
  <c r="J17" i="1"/>
  <c r="H19" i="1"/>
  <c r="I21" i="1"/>
  <c r="P23" i="2" s="1"/>
  <c r="J21" i="1"/>
  <c r="Q23" i="2" s="1"/>
  <c r="I22" i="1"/>
  <c r="P24" i="2" s="1"/>
  <c r="J25" i="1"/>
  <c r="Q27" i="2" s="1"/>
  <c r="J19" i="1" l="1"/>
  <c r="Q21" i="2" s="1"/>
  <c r="I19" i="1"/>
  <c r="P21" i="2" s="1"/>
  <c r="K19" i="1"/>
  <c r="R21" i="2" s="1"/>
  <c r="AV7" i="1" a="1"/>
  <c r="AV7" i="1" s="1"/>
  <c r="AV9" i="1" a="1"/>
  <c r="AV9" i="1" s="1"/>
  <c r="AV8" i="1" a="1"/>
  <c r="AV8" i="1" s="1"/>
  <c r="AW7" i="1"/>
  <c r="R19" i="2"/>
  <c r="N9" i="1" a="1"/>
  <c r="N9" i="1" s="1"/>
  <c r="J56" i="2" s="1"/>
  <c r="M9" i="1" a="1"/>
  <c r="M9" i="1" s="1"/>
  <c r="K27" i="1"/>
  <c r="Q19" i="2"/>
  <c r="M8" i="1" a="1"/>
  <c r="M8" i="1" s="1"/>
  <c r="N8" i="1" a="1"/>
  <c r="N8" i="1" s="1"/>
  <c r="G56" i="2" s="1"/>
  <c r="J27" i="1"/>
  <c r="I27" i="1"/>
  <c r="M7" i="1" s="1" a="1"/>
  <c r="M7" i="1" s="1"/>
  <c r="N7" i="1" a="1"/>
  <c r="N7" i="1" s="1"/>
  <c r="D56" i="2" s="1"/>
  <c r="H58" i="2"/>
  <c r="B59" i="2"/>
  <c r="K58" i="2"/>
  <c r="E58" i="2"/>
  <c r="C56" i="2" l="1"/>
  <c r="M17" i="1"/>
  <c r="P17" i="1" s="1"/>
  <c r="M19" i="1"/>
  <c r="P19" i="1" s="1"/>
  <c r="M21" i="1"/>
  <c r="P21" i="1" s="1"/>
  <c r="M18" i="1"/>
  <c r="P18" i="1" s="1"/>
  <c r="M23" i="1"/>
  <c r="P23" i="1" s="1"/>
  <c r="M25" i="1"/>
  <c r="P25" i="1" s="1"/>
  <c r="M24" i="1"/>
  <c r="P24" i="1" s="1"/>
  <c r="M22" i="1"/>
  <c r="P22" i="1" s="1"/>
  <c r="M20" i="1"/>
  <c r="P20" i="1" s="1"/>
  <c r="M26" i="1"/>
  <c r="P26" i="1" s="1"/>
  <c r="H59" i="2"/>
  <c r="B60" i="2"/>
  <c r="K59" i="2"/>
  <c r="E59" i="2"/>
  <c r="BH7" i="1"/>
  <c r="BG8" i="1" a="1"/>
  <c r="BG8" i="1" s="1"/>
  <c r="BG7" i="1" a="1"/>
  <c r="BG7" i="1" s="1"/>
  <c r="BG9" i="1" a="1"/>
  <c r="BG9" i="1" s="1"/>
  <c r="I56" i="2"/>
  <c r="O17" i="1"/>
  <c r="R17" i="1" s="1"/>
  <c r="O18" i="1"/>
  <c r="R18" i="1" s="1"/>
  <c r="O20" i="1"/>
  <c r="R20" i="1" s="1"/>
  <c r="O22" i="1"/>
  <c r="R22" i="1" s="1"/>
  <c r="O24" i="1"/>
  <c r="R24" i="1" s="1"/>
  <c r="O26" i="1"/>
  <c r="R26" i="1" s="1"/>
  <c r="O19" i="1"/>
  <c r="R19" i="1" s="1"/>
  <c r="O23" i="1"/>
  <c r="R23" i="1" s="1"/>
  <c r="O25" i="1"/>
  <c r="R25" i="1" s="1"/>
  <c r="O21" i="1"/>
  <c r="R21" i="1" s="1"/>
  <c r="F56" i="2"/>
  <c r="N19" i="1"/>
  <c r="Q19" i="1" s="1"/>
  <c r="N21" i="1"/>
  <c r="Q21" i="1" s="1"/>
  <c r="N18" i="1"/>
  <c r="Q18" i="1" s="1"/>
  <c r="N23" i="1"/>
  <c r="Q23" i="1" s="1"/>
  <c r="N20" i="1"/>
  <c r="Q20" i="1" s="1"/>
  <c r="N22" i="1"/>
  <c r="Q22" i="1" s="1"/>
  <c r="N25" i="1"/>
  <c r="Q25" i="1" s="1"/>
  <c r="N26" i="1"/>
  <c r="Q26" i="1" s="1"/>
  <c r="N17" i="1"/>
  <c r="Q17" i="1" s="1"/>
  <c r="N24" i="1"/>
  <c r="Q24" i="1" s="1"/>
  <c r="S25" i="1" l="1"/>
  <c r="U25" i="1" s="1"/>
  <c r="V26" i="1"/>
  <c r="H60" i="2"/>
  <c r="B61" i="2"/>
  <c r="K60" i="2"/>
  <c r="E60" i="2"/>
  <c r="S24" i="1"/>
  <c r="T24" i="1" s="1"/>
  <c r="S21" i="1"/>
  <c r="V21" i="1" s="1"/>
  <c r="T21" i="1"/>
  <c r="U21" i="1"/>
  <c r="S19" i="1"/>
  <c r="T19" i="1"/>
  <c r="U17" i="1"/>
  <c r="U19" i="1"/>
  <c r="V22" i="1"/>
  <c r="BR7" i="1" a="1"/>
  <c r="BR7" i="1" s="1"/>
  <c r="BR9" i="1" a="1"/>
  <c r="BR9" i="1" s="1"/>
  <c r="BS7" i="1"/>
  <c r="BR8" i="1" a="1"/>
  <c r="BR8" i="1" s="1"/>
  <c r="S20" i="1"/>
  <c r="U20" i="1" s="1"/>
  <c r="T20" i="1"/>
  <c r="S23" i="1"/>
  <c r="V23" i="1" s="1"/>
  <c r="T23" i="1"/>
  <c r="S17" i="1"/>
  <c r="V17" i="1" s="1"/>
  <c r="T17" i="1"/>
  <c r="V25" i="1"/>
  <c r="S26" i="1"/>
  <c r="T26" i="1"/>
  <c r="U26" i="1"/>
  <c r="U23" i="1"/>
  <c r="V19" i="1"/>
  <c r="V20" i="1"/>
  <c r="S22" i="1"/>
  <c r="U22" i="1" s="1"/>
  <c r="T22" i="1"/>
  <c r="S18" i="1"/>
  <c r="V18" i="1" s="1"/>
  <c r="T18" i="1"/>
  <c r="CD7" i="1" l="1"/>
  <c r="CC8" i="1" a="1"/>
  <c r="CC8" i="1" s="1"/>
  <c r="CC7" i="1" a="1"/>
  <c r="CC7" i="1" s="1"/>
  <c r="CC9" i="1" a="1"/>
  <c r="CC9" i="1" s="1"/>
  <c r="T25" i="1"/>
  <c r="T27" i="1" s="1"/>
  <c r="X7" i="1" s="1" a="1"/>
  <c r="X7" i="1" s="1"/>
  <c r="H61" i="2"/>
  <c r="B62" i="2"/>
  <c r="E61" i="2"/>
  <c r="K61" i="2"/>
  <c r="U24" i="1"/>
  <c r="U18" i="1"/>
  <c r="V24" i="1"/>
  <c r="X18" i="1" l="1"/>
  <c r="AA18" i="1" s="1"/>
  <c r="X26" i="1"/>
  <c r="AA26" i="1" s="1"/>
  <c r="X25" i="1"/>
  <c r="AA25" i="1" s="1"/>
  <c r="C57" i="2"/>
  <c r="Y7" i="1" a="1"/>
  <c r="Y7" i="1" s="1"/>
  <c r="D57" i="2" s="1"/>
  <c r="U27" i="1"/>
  <c r="Y8" i="1" s="1" a="1"/>
  <c r="Y8" i="1" s="1"/>
  <c r="G57" i="2" s="1"/>
  <c r="V27" i="1"/>
  <c r="X9" i="1" s="1" a="1"/>
  <c r="X9" i="1" s="1"/>
  <c r="CN7" i="1" a="1"/>
  <c r="CN7" i="1" s="1"/>
  <c r="CO7" i="1"/>
  <c r="CN9" i="1" a="1"/>
  <c r="CN9" i="1" s="1"/>
  <c r="CN8" i="1" a="1"/>
  <c r="CN8" i="1" s="1"/>
  <c r="X8" i="1" a="1"/>
  <c r="X8" i="1" s="1"/>
  <c r="H62" i="2"/>
  <c r="B63" i="2"/>
  <c r="K62" i="2"/>
  <c r="E62" i="2"/>
  <c r="Z21" i="1" l="1"/>
  <c r="AC21" i="1" s="1"/>
  <c r="Z22" i="1"/>
  <c r="AC22" i="1" s="1"/>
  <c r="I57" i="2"/>
  <c r="X23" i="1"/>
  <c r="AA23" i="1" s="1"/>
  <c r="X24" i="1"/>
  <c r="AA24" i="1" s="1"/>
  <c r="X17" i="1"/>
  <c r="AA17" i="1" s="1"/>
  <c r="Y9" i="1" a="1"/>
  <c r="Y9" i="1" s="1"/>
  <c r="J57" i="2" s="1"/>
  <c r="CZ7" i="1"/>
  <c r="CY7" i="1" a="1"/>
  <c r="CY7" i="1" s="1"/>
  <c r="CY8" i="1" a="1"/>
  <c r="CY8" i="1" s="1"/>
  <c r="CY9" i="1" a="1"/>
  <c r="CY9" i="1" s="1"/>
  <c r="X21" i="1"/>
  <c r="AA21" i="1" s="1"/>
  <c r="X22" i="1"/>
  <c r="AA22" i="1" s="1"/>
  <c r="H63" i="2"/>
  <c r="B64" i="2"/>
  <c r="K63" i="2"/>
  <c r="E63" i="2"/>
  <c r="Y18" i="1"/>
  <c r="AB18" i="1" s="1"/>
  <c r="Y20" i="1"/>
  <c r="AB20" i="1" s="1"/>
  <c r="Y19" i="1"/>
  <c r="AB19" i="1" s="1"/>
  <c r="Y21" i="1"/>
  <c r="AB21" i="1" s="1"/>
  <c r="Y22" i="1"/>
  <c r="AB22" i="1" s="1"/>
  <c r="Y17" i="1"/>
  <c r="AB17" i="1" s="1"/>
  <c r="Y24" i="1"/>
  <c r="AB24" i="1" s="1"/>
  <c r="Y23" i="1"/>
  <c r="AB23" i="1" s="1"/>
  <c r="Y25" i="1"/>
  <c r="AB25" i="1" s="1"/>
  <c r="Y26" i="1"/>
  <c r="AB26" i="1" s="1"/>
  <c r="F57" i="2"/>
  <c r="X19" i="1"/>
  <c r="AA19" i="1" s="1"/>
  <c r="X20" i="1"/>
  <c r="AA20" i="1" s="1"/>
  <c r="H64" i="2" l="1"/>
  <c r="B65" i="2"/>
  <c r="K64" i="2"/>
  <c r="E64" i="2"/>
  <c r="AE22" i="1"/>
  <c r="AD22" i="1"/>
  <c r="Z25" i="1"/>
  <c r="AC25" i="1" s="1"/>
  <c r="Z20" i="1"/>
  <c r="AC20" i="1" s="1"/>
  <c r="AG22" i="1"/>
  <c r="AF22" i="1"/>
  <c r="AD21" i="1"/>
  <c r="AE21" i="1" s="1"/>
  <c r="DJ7" i="1" a="1"/>
  <c r="DJ7" i="1" s="1"/>
  <c r="DK7" i="1"/>
  <c r="DJ9" i="1" a="1"/>
  <c r="DJ9" i="1" s="1"/>
  <c r="DJ8" i="1" a="1"/>
  <c r="DJ8" i="1" s="1"/>
  <c r="Z26" i="1"/>
  <c r="AC26" i="1" s="1"/>
  <c r="Z23" i="1"/>
  <c r="AC23" i="1" s="1"/>
  <c r="AD23" i="1" s="1"/>
  <c r="Z19" i="1"/>
  <c r="AC19" i="1" s="1"/>
  <c r="AD19" i="1" s="1"/>
  <c r="AD20" i="1"/>
  <c r="AE20" i="1" s="1"/>
  <c r="Z24" i="1"/>
  <c r="AC24" i="1" s="1"/>
  <c r="Z18" i="1"/>
  <c r="AC18" i="1" s="1"/>
  <c r="Z17" i="1"/>
  <c r="AC17" i="1" s="1"/>
  <c r="AD17" i="1" s="1"/>
  <c r="AF19" i="1" l="1"/>
  <c r="AE19" i="1"/>
  <c r="AE17" i="1"/>
  <c r="AF17" i="1"/>
  <c r="AF23" i="1"/>
  <c r="AE23" i="1"/>
  <c r="AG21" i="1"/>
  <c r="H65" i="2"/>
  <c r="B66" i="2"/>
  <c r="E65" i="2"/>
  <c r="K65" i="2"/>
  <c r="DV7" i="1"/>
  <c r="DU8" i="1" a="1"/>
  <c r="DU8" i="1" s="1"/>
  <c r="DU7" i="1" a="1"/>
  <c r="DU7" i="1" s="1"/>
  <c r="DU9" i="1" a="1"/>
  <c r="DU9" i="1" s="1"/>
  <c r="AF20" i="1"/>
  <c r="AD26" i="1"/>
  <c r="AG26" i="1" s="1"/>
  <c r="AF21" i="1"/>
  <c r="AG19" i="1"/>
  <c r="AG20" i="1"/>
  <c r="AD24" i="1"/>
  <c r="AG24" i="1" s="1"/>
  <c r="AD18" i="1"/>
  <c r="AG17" i="1"/>
  <c r="AG23" i="1"/>
  <c r="AD25" i="1"/>
  <c r="AE25" i="1" l="1"/>
  <c r="AF25" i="1"/>
  <c r="AE18" i="1"/>
  <c r="AF18" i="1"/>
  <c r="EF7" i="1" a="1"/>
  <c r="EF7" i="1" s="1"/>
  <c r="EF9" i="1" a="1"/>
  <c r="EF9" i="1" s="1"/>
  <c r="EF8" i="1" a="1"/>
  <c r="EF8" i="1" s="1"/>
  <c r="EG7" i="1"/>
  <c r="AG25" i="1"/>
  <c r="AG18" i="1"/>
  <c r="AE24" i="1"/>
  <c r="AF24" i="1"/>
  <c r="AF27" i="1" s="1"/>
  <c r="AJ8" i="1" s="1" a="1"/>
  <c r="AJ8" i="1" s="1"/>
  <c r="G58" i="2" s="1"/>
  <c r="AE26" i="1"/>
  <c r="AF26" i="1"/>
  <c r="H66" i="2"/>
  <c r="E49" i="2" s="1"/>
  <c r="B67" i="2"/>
  <c r="K66" i="2"/>
  <c r="E50" i="2" s="1"/>
  <c r="E66" i="2"/>
  <c r="E48" i="2" s="1"/>
  <c r="AI8" i="1" l="1" a="1"/>
  <c r="AI8" i="1" s="1"/>
  <c r="AG27" i="1"/>
  <c r="AJ9" i="1" s="1" a="1"/>
  <c r="AJ9" i="1" s="1"/>
  <c r="J58" i="2" s="1"/>
  <c r="H67" i="2"/>
  <c r="B68" i="2"/>
  <c r="K67" i="2"/>
  <c r="E67" i="2"/>
  <c r="EQ8" i="1" a="1"/>
  <c r="EQ8" i="1" s="1"/>
  <c r="EQ7" i="1" a="1"/>
  <c r="EQ7" i="1" s="1"/>
  <c r="ER7" i="1"/>
  <c r="EQ9" i="1" a="1"/>
  <c r="EQ9" i="1" s="1"/>
  <c r="AE27" i="1"/>
  <c r="AI7" i="1" s="1" a="1"/>
  <c r="AI7" i="1" s="1"/>
  <c r="AI9" i="1" a="1"/>
  <c r="AI9" i="1" s="1"/>
  <c r="AI20" i="1" l="1"/>
  <c r="AL20" i="1" s="1"/>
  <c r="AI24" i="1"/>
  <c r="AL24" i="1" s="1"/>
  <c r="C58" i="2"/>
  <c r="AJ17" i="1"/>
  <c r="AM17" i="1" s="1"/>
  <c r="AJ19" i="1"/>
  <c r="AM19" i="1" s="1"/>
  <c r="AJ18" i="1"/>
  <c r="AM18" i="1" s="1"/>
  <c r="AJ21" i="1"/>
  <c r="AM21" i="1" s="1"/>
  <c r="AJ20" i="1"/>
  <c r="AM20" i="1" s="1"/>
  <c r="AJ23" i="1"/>
  <c r="AM23" i="1" s="1"/>
  <c r="AJ22" i="1"/>
  <c r="AM22" i="1" s="1"/>
  <c r="AJ24" i="1"/>
  <c r="AM24" i="1" s="1"/>
  <c r="AJ25" i="1"/>
  <c r="AM25" i="1" s="1"/>
  <c r="AJ26" i="1"/>
  <c r="AM26" i="1" s="1"/>
  <c r="F58" i="2"/>
  <c r="FB7" i="1" a="1"/>
  <c r="FB7" i="1" s="1"/>
  <c r="FC7" i="1"/>
  <c r="FB9" i="1" a="1"/>
  <c r="FB9" i="1" s="1"/>
  <c r="FB8" i="1" a="1"/>
  <c r="FB8" i="1" s="1"/>
  <c r="H68" i="2"/>
  <c r="B69" i="2"/>
  <c r="K68" i="2"/>
  <c r="E68" i="2"/>
  <c r="AJ7" i="1" a="1"/>
  <c r="AJ7" i="1" s="1"/>
  <c r="D58" i="2" s="1"/>
  <c r="AK17" i="1"/>
  <c r="AN17" i="1" s="1"/>
  <c r="AK18" i="1"/>
  <c r="AN18" i="1" s="1"/>
  <c r="AK20" i="1"/>
  <c r="AN20" i="1" s="1"/>
  <c r="AK19" i="1"/>
  <c r="AN19" i="1" s="1"/>
  <c r="AK22" i="1"/>
  <c r="AN22" i="1" s="1"/>
  <c r="AK24" i="1"/>
  <c r="AN24" i="1" s="1"/>
  <c r="AK26" i="1"/>
  <c r="AN26" i="1" s="1"/>
  <c r="AK21" i="1"/>
  <c r="AN21" i="1" s="1"/>
  <c r="AK23" i="1"/>
  <c r="AN23" i="1" s="1"/>
  <c r="AK25" i="1"/>
  <c r="AN25" i="1" s="1"/>
  <c r="I58" i="2"/>
  <c r="AO24" i="1" l="1"/>
  <c r="AP24" i="1" s="1"/>
  <c r="AI22" i="1"/>
  <c r="AL22" i="1" s="1"/>
  <c r="AI21" i="1"/>
  <c r="AL21" i="1" s="1"/>
  <c r="FN7" i="1"/>
  <c r="FM8" i="1" a="1"/>
  <c r="FM8" i="1" s="1"/>
  <c r="FM7" i="1" a="1"/>
  <c r="FM7" i="1" s="1"/>
  <c r="FM9" i="1" a="1"/>
  <c r="FM9" i="1" s="1"/>
  <c r="AO20" i="1"/>
  <c r="AR20" i="1" s="1"/>
  <c r="AI26" i="1"/>
  <c r="AL26" i="1" s="1"/>
  <c r="AI25" i="1"/>
  <c r="AL25" i="1" s="1"/>
  <c r="AI19" i="1"/>
  <c r="AL19" i="1" s="1"/>
  <c r="H69" i="2"/>
  <c r="B70" i="2"/>
  <c r="E69" i="2"/>
  <c r="K69" i="2"/>
  <c r="AI18" i="1"/>
  <c r="AL18" i="1" s="1"/>
  <c r="AI23" i="1"/>
  <c r="AL23" i="1" s="1"/>
  <c r="AI17" i="1"/>
  <c r="AL17" i="1" s="1"/>
  <c r="AO18" i="1" l="1"/>
  <c r="AP18" i="1"/>
  <c r="AO21" i="1"/>
  <c r="AP21" i="1" s="1"/>
  <c r="AO25" i="1"/>
  <c r="AP25" i="1"/>
  <c r="AP20" i="1"/>
  <c r="AO22" i="1"/>
  <c r="AR24" i="1"/>
  <c r="AO19" i="1"/>
  <c r="AP19" i="1" s="1"/>
  <c r="H70" i="2"/>
  <c r="B71" i="2"/>
  <c r="K70" i="2"/>
  <c r="E70" i="2"/>
  <c r="AO17" i="1"/>
  <c r="AP17" i="1"/>
  <c r="AO26" i="1"/>
  <c r="AP26" i="1" s="1"/>
  <c r="AQ20" i="1"/>
  <c r="FX7" i="1" a="1"/>
  <c r="FX7" i="1" s="1"/>
  <c r="FX8" i="1" a="1"/>
  <c r="FX8" i="1" s="1"/>
  <c r="FX9" i="1" a="1"/>
  <c r="FX9" i="1" s="1"/>
  <c r="FY7" i="1"/>
  <c r="AO23" i="1"/>
  <c r="AQ24" i="1"/>
  <c r="H71" i="2" l="1"/>
  <c r="B72" i="2"/>
  <c r="K71" i="2"/>
  <c r="E71" i="2"/>
  <c r="AR23" i="1"/>
  <c r="AQ23" i="1"/>
  <c r="AR21" i="1"/>
  <c r="AQ21" i="1"/>
  <c r="GI8" i="1" a="1"/>
  <c r="GI8" i="1" s="1"/>
  <c r="GI7" i="1" a="1"/>
  <c r="GI7" i="1" s="1"/>
  <c r="GJ7" i="1"/>
  <c r="GI9" i="1" a="1"/>
  <c r="GI9" i="1" s="1"/>
  <c r="AR19" i="1"/>
  <c r="AQ19" i="1"/>
  <c r="AQ22" i="1"/>
  <c r="AR22" i="1"/>
  <c r="AQ17" i="1"/>
  <c r="AR17" i="1"/>
  <c r="AP23" i="1"/>
  <c r="AR26" i="1"/>
  <c r="AQ26" i="1"/>
  <c r="AP22" i="1"/>
  <c r="AP27" i="1" s="1"/>
  <c r="AU7" i="1" s="1" a="1"/>
  <c r="AU7" i="1" s="1"/>
  <c r="D59" i="2" s="1"/>
  <c r="AQ25" i="1"/>
  <c r="AR25" i="1"/>
  <c r="AQ18" i="1"/>
  <c r="AR18" i="1"/>
  <c r="AT7" i="1" l="1" a="1"/>
  <c r="AT7" i="1" s="1"/>
  <c r="AR27" i="1"/>
  <c r="AT9" i="1" s="1" a="1"/>
  <c r="AT9" i="1" s="1"/>
  <c r="AU8" i="1" a="1"/>
  <c r="AU8" i="1" s="1"/>
  <c r="G59" i="2" s="1"/>
  <c r="AT8" i="1" a="1"/>
  <c r="AT8" i="1" s="1"/>
  <c r="AQ27" i="1"/>
  <c r="GT7" i="1" a="1"/>
  <c r="GT7" i="1" s="1"/>
  <c r="GU7" i="1"/>
  <c r="GT8" i="1" a="1"/>
  <c r="GT8" i="1" s="1"/>
  <c r="GT9" i="1" a="1"/>
  <c r="GT9" i="1" s="1"/>
  <c r="H72" i="2"/>
  <c r="B73" i="2"/>
  <c r="K72" i="2"/>
  <c r="E72" i="2"/>
  <c r="I59" i="2" l="1"/>
  <c r="AU9" i="1" a="1"/>
  <c r="AU9" i="1" s="1"/>
  <c r="J59" i="2" s="1"/>
  <c r="H73" i="2"/>
  <c r="B74" i="2"/>
  <c r="E73" i="2"/>
  <c r="K73" i="2"/>
  <c r="AU17" i="1"/>
  <c r="AX17" i="1" s="1"/>
  <c r="AU18" i="1"/>
  <c r="AX18" i="1" s="1"/>
  <c r="AU20" i="1"/>
  <c r="AX20" i="1" s="1"/>
  <c r="AU22" i="1"/>
  <c r="AX22" i="1" s="1"/>
  <c r="AU19" i="1"/>
  <c r="AX19" i="1" s="1"/>
  <c r="AU23" i="1"/>
  <c r="AX23" i="1" s="1"/>
  <c r="AU24" i="1"/>
  <c r="AX24" i="1" s="1"/>
  <c r="AU21" i="1"/>
  <c r="AX21" i="1" s="1"/>
  <c r="AU26" i="1"/>
  <c r="AX26" i="1" s="1"/>
  <c r="AU25" i="1"/>
  <c r="AX25" i="1" s="1"/>
  <c r="F59" i="2"/>
  <c r="HF7" i="1"/>
  <c r="HE8" i="1" a="1"/>
  <c r="HE8" i="1" s="1"/>
  <c r="HE7" i="1" a="1"/>
  <c r="HE7" i="1" s="1"/>
  <c r="HE9" i="1" a="1"/>
  <c r="HE9" i="1" s="1"/>
  <c r="AT17" i="1"/>
  <c r="AW17" i="1" s="1"/>
  <c r="AT18" i="1"/>
  <c r="AW18" i="1" s="1"/>
  <c r="AT19" i="1"/>
  <c r="AW19" i="1" s="1"/>
  <c r="AT20" i="1"/>
  <c r="AW20" i="1" s="1"/>
  <c r="AT22" i="1"/>
  <c r="AW22" i="1" s="1"/>
  <c r="AT24" i="1"/>
  <c r="AW24" i="1" s="1"/>
  <c r="AT26" i="1"/>
  <c r="AW26" i="1" s="1"/>
  <c r="AT21" i="1"/>
  <c r="AW21" i="1" s="1"/>
  <c r="AT23" i="1"/>
  <c r="AW23" i="1" s="1"/>
  <c r="AT25" i="1"/>
  <c r="AW25" i="1" s="1"/>
  <c r="C59" i="2"/>
  <c r="AZ18" i="1" l="1"/>
  <c r="BA18" i="1" s="1"/>
  <c r="AV20" i="1"/>
  <c r="AY20" i="1" s="1"/>
  <c r="AV21" i="1"/>
  <c r="AY21" i="1" s="1"/>
  <c r="BB18" i="1"/>
  <c r="AV18" i="1"/>
  <c r="AY18" i="1" s="1"/>
  <c r="HP7" i="1" a="1"/>
  <c r="HP7" i="1" s="1"/>
  <c r="J48" i="2" s="1"/>
  <c r="HQ7" i="1"/>
  <c r="HP8" i="1" a="1"/>
  <c r="HP8" i="1" s="1"/>
  <c r="J49" i="2" s="1"/>
  <c r="HP9" i="1" a="1"/>
  <c r="HP9" i="1" s="1"/>
  <c r="J50" i="2" s="1"/>
  <c r="AV26" i="1"/>
  <c r="AY26" i="1" s="1"/>
  <c r="AV25" i="1"/>
  <c r="AY25" i="1" s="1"/>
  <c r="AZ25" i="1" s="1"/>
  <c r="AV19" i="1"/>
  <c r="AY19" i="1" s="1"/>
  <c r="AV24" i="1"/>
  <c r="AY24" i="1" s="1"/>
  <c r="AZ21" i="1"/>
  <c r="BB21" i="1" s="1"/>
  <c r="BA21" i="1"/>
  <c r="H74" i="2"/>
  <c r="B75" i="2"/>
  <c r="K74" i="2"/>
  <c r="E74" i="2"/>
  <c r="AV22" i="1"/>
  <c r="AY22" i="1" s="1"/>
  <c r="AV23" i="1"/>
  <c r="AY23" i="1" s="1"/>
  <c r="AV17" i="1"/>
  <c r="AY17" i="1" s="1"/>
  <c r="AZ17" i="1" s="1"/>
  <c r="BA17" i="1" l="1"/>
  <c r="BB17" i="1"/>
  <c r="BB25" i="1"/>
  <c r="BA25" i="1"/>
  <c r="H75" i="2"/>
  <c r="K75" i="2"/>
  <c r="E75" i="2"/>
  <c r="BC22" i="1"/>
  <c r="BC17" i="1"/>
  <c r="AZ20" i="1"/>
  <c r="AZ23" i="1"/>
  <c r="AZ22" i="1"/>
  <c r="AZ26" i="1"/>
  <c r="BC25" i="1"/>
  <c r="BC18" i="1"/>
  <c r="BC21" i="1"/>
  <c r="AZ24" i="1"/>
  <c r="BC24" i="1" s="1"/>
  <c r="AZ19" i="1"/>
  <c r="BB26" i="1" l="1"/>
  <c r="BA26" i="1"/>
  <c r="BA20" i="1"/>
  <c r="BB20" i="1"/>
  <c r="BC20" i="1"/>
  <c r="BA24" i="1"/>
  <c r="BB24" i="1"/>
  <c r="BA22" i="1"/>
  <c r="BB22" i="1"/>
  <c r="BA23" i="1"/>
  <c r="BB23" i="1"/>
  <c r="BA19" i="1"/>
  <c r="BA27" i="1" s="1"/>
  <c r="BF7" i="1" s="1" a="1"/>
  <c r="BF7" i="1" s="1"/>
  <c r="D60" i="2" s="1"/>
  <c r="BB19" i="1"/>
  <c r="BC19" i="1"/>
  <c r="BC26" i="1"/>
  <c r="BC23" i="1"/>
  <c r="BE7" i="1" l="1" a="1"/>
  <c r="BE7" i="1" s="1"/>
  <c r="BE9" i="1" a="1"/>
  <c r="BE9" i="1" s="1"/>
  <c r="BC27" i="1"/>
  <c r="BF9" i="1" s="1" a="1"/>
  <c r="BF9" i="1" s="1"/>
  <c r="J60" i="2" s="1"/>
  <c r="BB27" i="1"/>
  <c r="BF8" i="1" s="1" a="1"/>
  <c r="BF8" i="1" s="1"/>
  <c r="G60" i="2" s="1"/>
  <c r="BE8" i="1" l="1" a="1"/>
  <c r="BE8" i="1" s="1"/>
  <c r="BG17" i="1"/>
  <c r="BJ17" i="1" s="1"/>
  <c r="BG18" i="1"/>
  <c r="BJ18" i="1" s="1"/>
  <c r="BG22" i="1"/>
  <c r="BJ22" i="1" s="1"/>
  <c r="BG24" i="1"/>
  <c r="BJ24" i="1" s="1"/>
  <c r="BG26" i="1"/>
  <c r="BJ26" i="1" s="1"/>
  <c r="BG19" i="1"/>
  <c r="BJ19" i="1" s="1"/>
  <c r="BG20" i="1"/>
  <c r="BJ20" i="1" s="1"/>
  <c r="BG21" i="1"/>
  <c r="BJ21" i="1" s="1"/>
  <c r="BG23" i="1"/>
  <c r="BJ23" i="1" s="1"/>
  <c r="BG25" i="1"/>
  <c r="BJ25" i="1" s="1"/>
  <c r="I60" i="2"/>
  <c r="BE17" i="1"/>
  <c r="BH17" i="1" s="1"/>
  <c r="BE19" i="1"/>
  <c r="BH19" i="1" s="1"/>
  <c r="BE21" i="1"/>
  <c r="BH21" i="1" s="1"/>
  <c r="BE18" i="1"/>
  <c r="BH18" i="1" s="1"/>
  <c r="BE20" i="1"/>
  <c r="BH20" i="1" s="1"/>
  <c r="BE23" i="1"/>
  <c r="BH23" i="1" s="1"/>
  <c r="BE25" i="1"/>
  <c r="BH25" i="1" s="1"/>
  <c r="BE24" i="1"/>
  <c r="BH24" i="1" s="1"/>
  <c r="BE22" i="1"/>
  <c r="BH22" i="1" s="1"/>
  <c r="BE26" i="1"/>
  <c r="BH26" i="1" s="1"/>
  <c r="C60" i="2"/>
  <c r="BK23" i="1" l="1"/>
  <c r="BL23" i="1" s="1"/>
  <c r="BN23" i="1"/>
  <c r="BF19" i="1"/>
  <c r="BI19" i="1" s="1"/>
  <c r="BF17" i="1"/>
  <c r="BI17" i="1" s="1"/>
  <c r="BF21" i="1"/>
  <c r="BI21" i="1" s="1"/>
  <c r="BK21" i="1" s="1"/>
  <c r="BF20" i="1"/>
  <c r="BI20" i="1" s="1"/>
  <c r="BF23" i="1"/>
  <c r="BI23" i="1" s="1"/>
  <c r="BF22" i="1"/>
  <c r="BI22" i="1" s="1"/>
  <c r="BK22" i="1" s="1"/>
  <c r="BF24" i="1"/>
  <c r="BI24" i="1" s="1"/>
  <c r="BF18" i="1"/>
  <c r="BI18" i="1" s="1"/>
  <c r="BK18" i="1" s="1"/>
  <c r="BF25" i="1"/>
  <c r="BI25" i="1" s="1"/>
  <c r="BF26" i="1"/>
  <c r="BI26" i="1" s="1"/>
  <c r="BK26" i="1" s="1"/>
  <c r="F60" i="2"/>
  <c r="BL22" i="1" l="1"/>
  <c r="BN22" i="1"/>
  <c r="BN18" i="1"/>
  <c r="BL18" i="1"/>
  <c r="BN26" i="1"/>
  <c r="BL26" i="1"/>
  <c r="BN21" i="1"/>
  <c r="BL21" i="1"/>
  <c r="BM23" i="1"/>
  <c r="BM19" i="1"/>
  <c r="BK17" i="1"/>
  <c r="BM22" i="1"/>
  <c r="BK25" i="1"/>
  <c r="BM18" i="1"/>
  <c r="BM20" i="1"/>
  <c r="BK20" i="1"/>
  <c r="BK19" i="1"/>
  <c r="BM26" i="1"/>
  <c r="BM21" i="1"/>
  <c r="BK24" i="1"/>
  <c r="BL24" i="1" l="1"/>
  <c r="BN24" i="1"/>
  <c r="BL25" i="1"/>
  <c r="BN25" i="1"/>
  <c r="BN19" i="1"/>
  <c r="BL19" i="1"/>
  <c r="BN20" i="1"/>
  <c r="BL20" i="1"/>
  <c r="BM25" i="1"/>
  <c r="BM24" i="1"/>
  <c r="BN17" i="1"/>
  <c r="BL17" i="1"/>
  <c r="BM17" i="1"/>
  <c r="BP9" i="1" l="1" a="1"/>
  <c r="BP9" i="1" s="1"/>
  <c r="BQ9" i="1" a="1"/>
  <c r="BQ9" i="1" s="1"/>
  <c r="J61" i="2" s="1"/>
  <c r="BN27" i="1"/>
  <c r="BP7" i="1" a="1"/>
  <c r="BP7" i="1" s="1"/>
  <c r="BL27" i="1"/>
  <c r="BQ7" i="1" s="1" a="1"/>
  <c r="BQ7" i="1" s="1"/>
  <c r="D61" i="2" s="1"/>
  <c r="BP8" i="1" a="1"/>
  <c r="BP8" i="1" s="1"/>
  <c r="BM27" i="1"/>
  <c r="BQ8" i="1" s="1" a="1"/>
  <c r="BQ8" i="1" s="1"/>
  <c r="G61" i="2" s="1"/>
  <c r="BQ18" i="1" l="1"/>
  <c r="BT18" i="1" s="1"/>
  <c r="BQ20" i="1"/>
  <c r="BT20" i="1" s="1"/>
  <c r="BQ17" i="1"/>
  <c r="BT17" i="1" s="1"/>
  <c r="BQ19" i="1"/>
  <c r="BT19" i="1" s="1"/>
  <c r="BQ21" i="1"/>
  <c r="BT21" i="1" s="1"/>
  <c r="BQ22" i="1"/>
  <c r="BT22" i="1" s="1"/>
  <c r="BQ24" i="1"/>
  <c r="BT24" i="1" s="1"/>
  <c r="BQ25" i="1"/>
  <c r="BT25" i="1" s="1"/>
  <c r="BQ26" i="1"/>
  <c r="BT26" i="1" s="1"/>
  <c r="BQ23" i="1"/>
  <c r="BT23" i="1" s="1"/>
  <c r="F61" i="2"/>
  <c r="BP17" i="1"/>
  <c r="BS17" i="1" s="1"/>
  <c r="BP18" i="1"/>
  <c r="BS18" i="1" s="1"/>
  <c r="BP20" i="1"/>
  <c r="BS20" i="1" s="1"/>
  <c r="BP22" i="1"/>
  <c r="BS22" i="1" s="1"/>
  <c r="BP24" i="1"/>
  <c r="BS24" i="1" s="1"/>
  <c r="BP26" i="1"/>
  <c r="BS26" i="1" s="1"/>
  <c r="BP23" i="1"/>
  <c r="BS23" i="1" s="1"/>
  <c r="BP25" i="1"/>
  <c r="BS25" i="1" s="1"/>
  <c r="BP19" i="1"/>
  <c r="BS19" i="1" s="1"/>
  <c r="BP21" i="1"/>
  <c r="BS21" i="1" s="1"/>
  <c r="C61" i="2"/>
  <c r="BR17" i="1"/>
  <c r="BU17" i="1" s="1"/>
  <c r="BR19" i="1"/>
  <c r="BU19" i="1" s="1"/>
  <c r="BR21" i="1"/>
  <c r="BU21" i="1" s="1"/>
  <c r="BR20" i="1"/>
  <c r="BU20" i="1" s="1"/>
  <c r="BR23" i="1"/>
  <c r="BU23" i="1" s="1"/>
  <c r="BR25" i="1"/>
  <c r="BU25" i="1" s="1"/>
  <c r="BR22" i="1"/>
  <c r="BU22" i="1" s="1"/>
  <c r="BR24" i="1"/>
  <c r="BU24" i="1" s="1"/>
  <c r="BR18" i="1"/>
  <c r="BU18" i="1" s="1"/>
  <c r="BR26" i="1"/>
  <c r="BU26" i="1" s="1"/>
  <c r="I61" i="2"/>
  <c r="BV19" i="1" l="1"/>
  <c r="BW19" i="1" s="1"/>
  <c r="BV24" i="1"/>
  <c r="BY24" i="1" s="1"/>
  <c r="BV17" i="1"/>
  <c r="BW17" i="1" s="1"/>
  <c r="BY17" i="1"/>
  <c r="BV25" i="1"/>
  <c r="BY25" i="1" s="1"/>
  <c r="BW25" i="1"/>
  <c r="BV22" i="1"/>
  <c r="BW22" i="1" s="1"/>
  <c r="BX24" i="1"/>
  <c r="BX17" i="1"/>
  <c r="BY20" i="1"/>
  <c r="BV23" i="1"/>
  <c r="BY23" i="1" s="1"/>
  <c r="BW23" i="1"/>
  <c r="BV20" i="1"/>
  <c r="BW20" i="1"/>
  <c r="BX23" i="1"/>
  <c r="BX22" i="1"/>
  <c r="BX20" i="1"/>
  <c r="BY22" i="1"/>
  <c r="BV21" i="1"/>
  <c r="BW21" i="1" s="1"/>
  <c r="BV26" i="1"/>
  <c r="BY26" i="1" s="1"/>
  <c r="BV18" i="1"/>
  <c r="BW18" i="1" s="1"/>
  <c r="BX18" i="1" l="1"/>
  <c r="BX27" i="1" s="1"/>
  <c r="BY18" i="1"/>
  <c r="BY21" i="1"/>
  <c r="BY27" i="1" s="1"/>
  <c r="BX19" i="1"/>
  <c r="CA8" i="1" s="1" a="1"/>
  <c r="CA8" i="1" s="1"/>
  <c r="BW24" i="1"/>
  <c r="BY19" i="1"/>
  <c r="BW26" i="1"/>
  <c r="BX25" i="1"/>
  <c r="BX21" i="1"/>
  <c r="BX26" i="1"/>
  <c r="CA9" i="1" l="1" a="1"/>
  <c r="CA9" i="1" s="1"/>
  <c r="CB9" i="1" a="1"/>
  <c r="CB9" i="1" s="1"/>
  <c r="J62" i="2" s="1"/>
  <c r="CB22" i="1"/>
  <c r="CE22" i="1" s="1"/>
  <c r="F62" i="2"/>
  <c r="CB7" i="1" a="1"/>
  <c r="CB7" i="1" s="1"/>
  <c r="D62" i="2" s="1"/>
  <c r="BW27" i="1"/>
  <c r="CB8" i="1" a="1"/>
  <c r="CB8" i="1" s="1"/>
  <c r="G62" i="2" s="1"/>
  <c r="CA7" i="1" a="1"/>
  <c r="CA7" i="1" s="1"/>
  <c r="CB26" i="1" l="1"/>
  <c r="CE26" i="1" s="1"/>
  <c r="CB23" i="1"/>
  <c r="CE23" i="1" s="1"/>
  <c r="CB19" i="1"/>
  <c r="CE19" i="1" s="1"/>
  <c r="CB20" i="1"/>
  <c r="CE20" i="1" s="1"/>
  <c r="CB25" i="1"/>
  <c r="CE25" i="1" s="1"/>
  <c r="CB21" i="1"/>
  <c r="CE21" i="1" s="1"/>
  <c r="CB17" i="1"/>
  <c r="CE17" i="1" s="1"/>
  <c r="CA17" i="1"/>
  <c r="CD17" i="1" s="1"/>
  <c r="CA19" i="1"/>
  <c r="CD19" i="1" s="1"/>
  <c r="CA20" i="1"/>
  <c r="CD20" i="1" s="1"/>
  <c r="CA21" i="1"/>
  <c r="CD21" i="1" s="1"/>
  <c r="CA18" i="1"/>
  <c r="CD18" i="1" s="1"/>
  <c r="CA23" i="1"/>
  <c r="CD23" i="1" s="1"/>
  <c r="CA25" i="1"/>
  <c r="CD25" i="1" s="1"/>
  <c r="CA22" i="1"/>
  <c r="CD22" i="1" s="1"/>
  <c r="CA26" i="1"/>
  <c r="CD26" i="1" s="1"/>
  <c r="CA24" i="1"/>
  <c r="CD24" i="1" s="1"/>
  <c r="C62" i="2"/>
  <c r="CB24" i="1"/>
  <c r="CE24" i="1" s="1"/>
  <c r="CB18" i="1"/>
  <c r="CE18" i="1" s="1"/>
  <c r="CC17" i="1"/>
  <c r="CF17" i="1" s="1"/>
  <c r="CC18" i="1"/>
  <c r="CF18" i="1" s="1"/>
  <c r="CC19" i="1"/>
  <c r="CF19" i="1" s="1"/>
  <c r="CC20" i="1"/>
  <c r="CF20" i="1" s="1"/>
  <c r="CC22" i="1"/>
  <c r="CF22" i="1" s="1"/>
  <c r="CC24" i="1"/>
  <c r="CF24" i="1" s="1"/>
  <c r="CC26" i="1"/>
  <c r="CF26" i="1" s="1"/>
  <c r="CC21" i="1"/>
  <c r="CF21" i="1" s="1"/>
  <c r="CC23" i="1"/>
  <c r="CF23" i="1" s="1"/>
  <c r="CC25" i="1"/>
  <c r="CF25" i="1" s="1"/>
  <c r="I62" i="2"/>
  <c r="CG22" i="1" l="1"/>
  <c r="CI22" i="1" s="1"/>
  <c r="CG21" i="1"/>
  <c r="CH21" i="1" s="1"/>
  <c r="CG25" i="1"/>
  <c r="CJ25" i="1" s="1"/>
  <c r="CG20" i="1"/>
  <c r="CH20" i="1" s="1"/>
  <c r="CI21" i="1"/>
  <c r="CJ22" i="1"/>
  <c r="CG24" i="1"/>
  <c r="CJ24" i="1" s="1"/>
  <c r="CG23" i="1"/>
  <c r="CJ23" i="1" s="1"/>
  <c r="CH23" i="1"/>
  <c r="CG19" i="1"/>
  <c r="CI19" i="1" s="1"/>
  <c r="CI25" i="1"/>
  <c r="CI23" i="1"/>
  <c r="CJ21" i="1"/>
  <c r="CJ20" i="1"/>
  <c r="CI18" i="1"/>
  <c r="CG26" i="1"/>
  <c r="CH26" i="1" s="1"/>
  <c r="CG18" i="1"/>
  <c r="CJ18" i="1" s="1"/>
  <c r="CH18" i="1"/>
  <c r="CG17" i="1"/>
  <c r="CI17" i="1" s="1"/>
  <c r="CI20" i="1"/>
  <c r="CJ17" i="1" l="1"/>
  <c r="CI24" i="1"/>
  <c r="CI26" i="1"/>
  <c r="CJ19" i="1"/>
  <c r="CH24" i="1"/>
  <c r="CH22" i="1"/>
  <c r="CJ26" i="1"/>
  <c r="CH17" i="1"/>
  <c r="CH19" i="1"/>
  <c r="CH25" i="1"/>
  <c r="CL9" i="1" l="1" a="1"/>
  <c r="CL9" i="1" s="1"/>
  <c r="CM9" i="1" a="1"/>
  <c r="CM9" i="1" s="1"/>
  <c r="J63" i="2" s="1"/>
  <c r="CJ27" i="1"/>
  <c r="CM7" i="1" a="1"/>
  <c r="CM7" i="1" s="1"/>
  <c r="D63" i="2" s="1"/>
  <c r="CH27" i="1"/>
  <c r="CL7" i="1" s="1" a="1"/>
  <c r="CL7" i="1" s="1"/>
  <c r="CI27" i="1"/>
  <c r="CM8" i="1" s="1" a="1"/>
  <c r="CM8" i="1" s="1"/>
  <c r="G63" i="2" s="1"/>
  <c r="CL8" i="1" a="1"/>
  <c r="CL8" i="1" s="1"/>
  <c r="CL17" i="1" l="1"/>
  <c r="CO17" i="1" s="1"/>
  <c r="CL18" i="1"/>
  <c r="CO18" i="1" s="1"/>
  <c r="CL20" i="1"/>
  <c r="CO20" i="1" s="1"/>
  <c r="CL19" i="1"/>
  <c r="CO19" i="1" s="1"/>
  <c r="CL22" i="1"/>
  <c r="CO22" i="1" s="1"/>
  <c r="CL24" i="1"/>
  <c r="CO24" i="1" s="1"/>
  <c r="CL26" i="1"/>
  <c r="CO26" i="1" s="1"/>
  <c r="CL21" i="1"/>
  <c r="CO21" i="1" s="1"/>
  <c r="CL23" i="1"/>
  <c r="CO23" i="1" s="1"/>
  <c r="CL25" i="1"/>
  <c r="CO25" i="1" s="1"/>
  <c r="C63" i="2"/>
  <c r="CM17" i="1"/>
  <c r="CP17" i="1" s="1"/>
  <c r="CM18" i="1"/>
  <c r="CP18" i="1" s="1"/>
  <c r="CM20" i="1"/>
  <c r="CP20" i="1" s="1"/>
  <c r="CM19" i="1"/>
  <c r="CP19" i="1" s="1"/>
  <c r="CM22" i="1"/>
  <c r="CP22" i="1" s="1"/>
  <c r="CM21" i="1"/>
  <c r="CP21" i="1" s="1"/>
  <c r="CM23" i="1"/>
  <c r="CP23" i="1" s="1"/>
  <c r="CM25" i="1"/>
  <c r="CP25" i="1" s="1"/>
  <c r="CM26" i="1"/>
  <c r="CP26" i="1" s="1"/>
  <c r="CM24" i="1"/>
  <c r="CP24" i="1" s="1"/>
  <c r="F63" i="2"/>
  <c r="CN17" i="1"/>
  <c r="CQ17" i="1" s="1"/>
  <c r="CN19" i="1"/>
  <c r="CQ19" i="1" s="1"/>
  <c r="CN21" i="1"/>
  <c r="CQ21" i="1" s="1"/>
  <c r="CN18" i="1"/>
  <c r="CQ18" i="1" s="1"/>
  <c r="CN20" i="1"/>
  <c r="CQ20" i="1" s="1"/>
  <c r="CN23" i="1"/>
  <c r="CQ23" i="1" s="1"/>
  <c r="CN25" i="1"/>
  <c r="CQ25" i="1" s="1"/>
  <c r="CN24" i="1"/>
  <c r="CQ24" i="1" s="1"/>
  <c r="CN22" i="1"/>
  <c r="CQ22" i="1" s="1"/>
  <c r="CN26" i="1"/>
  <c r="CQ26" i="1" s="1"/>
  <c r="I63" i="2"/>
  <c r="CR21" i="1" l="1"/>
  <c r="CS21" i="1"/>
  <c r="CR19" i="1"/>
  <c r="CU19" i="1" s="1"/>
  <c r="CS19" i="1"/>
  <c r="CU20" i="1"/>
  <c r="CT19" i="1"/>
  <c r="CR26" i="1"/>
  <c r="CU26" i="1" s="1"/>
  <c r="CR20" i="1"/>
  <c r="CS20" i="1"/>
  <c r="CT20" i="1"/>
  <c r="CR25" i="1"/>
  <c r="CS25" i="1" s="1"/>
  <c r="CR24" i="1"/>
  <c r="CS24" i="1" s="1"/>
  <c r="CS18" i="1"/>
  <c r="CR18" i="1"/>
  <c r="CU18" i="1" s="1"/>
  <c r="CU21" i="1"/>
  <c r="CT24" i="1"/>
  <c r="CT21" i="1"/>
  <c r="CT18" i="1"/>
  <c r="CR23" i="1"/>
  <c r="CU23" i="1" s="1"/>
  <c r="CS23" i="1"/>
  <c r="CR22" i="1"/>
  <c r="CT22" i="1" s="1"/>
  <c r="CS22" i="1"/>
  <c r="CR17" i="1"/>
  <c r="CU17" i="1" s="1"/>
  <c r="CS17" i="1"/>
  <c r="CU24" i="1" l="1"/>
  <c r="CT26" i="1"/>
  <c r="CU22" i="1"/>
  <c r="CU25" i="1"/>
  <c r="CT23" i="1"/>
  <c r="CT25" i="1"/>
  <c r="CT17" i="1"/>
  <c r="CS26" i="1"/>
  <c r="CS27" i="1" s="1"/>
  <c r="CX9" i="1" l="1" a="1"/>
  <c r="CX9" i="1" s="1"/>
  <c r="J64" i="2" s="1"/>
  <c r="CW7" i="1" a="1"/>
  <c r="CW7" i="1" s="1"/>
  <c r="CX7" i="1" a="1"/>
  <c r="CX7" i="1" s="1"/>
  <c r="D64" i="2" s="1"/>
  <c r="CU27" i="1"/>
  <c r="CW9" i="1" a="1"/>
  <c r="CW9" i="1" s="1"/>
  <c r="CW8" i="1" a="1"/>
  <c r="CW8" i="1" s="1"/>
  <c r="CX8" i="1" a="1"/>
  <c r="CX8" i="1" s="1"/>
  <c r="G64" i="2" s="1"/>
  <c r="CT27" i="1"/>
  <c r="CY17" i="1" l="1"/>
  <c r="DB17" i="1" s="1"/>
  <c r="CY18" i="1"/>
  <c r="DB18" i="1" s="1"/>
  <c r="CY20" i="1"/>
  <c r="DB20" i="1" s="1"/>
  <c r="CY22" i="1"/>
  <c r="DB22" i="1" s="1"/>
  <c r="CY24" i="1"/>
  <c r="DB24" i="1" s="1"/>
  <c r="CY26" i="1"/>
  <c r="DB26" i="1" s="1"/>
  <c r="CY23" i="1"/>
  <c r="DB23" i="1" s="1"/>
  <c r="CY25" i="1"/>
  <c r="DB25" i="1" s="1"/>
  <c r="CY21" i="1"/>
  <c r="DB21" i="1" s="1"/>
  <c r="CY19" i="1"/>
  <c r="DB19" i="1" s="1"/>
  <c r="I64" i="2"/>
  <c r="CX19" i="1"/>
  <c r="DA19" i="1" s="1"/>
  <c r="CX21" i="1"/>
  <c r="DA21" i="1" s="1"/>
  <c r="CX17" i="1"/>
  <c r="DA17" i="1" s="1"/>
  <c r="CX18" i="1"/>
  <c r="DA18" i="1" s="1"/>
  <c r="CX20" i="1"/>
  <c r="DA20" i="1" s="1"/>
  <c r="CX22" i="1"/>
  <c r="DA22" i="1" s="1"/>
  <c r="CX23" i="1"/>
  <c r="DA23" i="1" s="1"/>
  <c r="CX26" i="1"/>
  <c r="DA26" i="1" s="1"/>
  <c r="CX24" i="1"/>
  <c r="DA24" i="1" s="1"/>
  <c r="CX25" i="1"/>
  <c r="DA25" i="1" s="1"/>
  <c r="F64" i="2"/>
  <c r="CW17" i="1"/>
  <c r="CZ17" i="1" s="1"/>
  <c r="CW19" i="1"/>
  <c r="CZ19" i="1" s="1"/>
  <c r="CW21" i="1"/>
  <c r="CZ21" i="1" s="1"/>
  <c r="CW18" i="1"/>
  <c r="CZ18" i="1" s="1"/>
  <c r="CW20" i="1"/>
  <c r="CZ20" i="1" s="1"/>
  <c r="CW23" i="1"/>
  <c r="CZ23" i="1" s="1"/>
  <c r="CW25" i="1"/>
  <c r="CZ25" i="1" s="1"/>
  <c r="CW24" i="1"/>
  <c r="CZ24" i="1" s="1"/>
  <c r="CW26" i="1"/>
  <c r="CZ26" i="1" s="1"/>
  <c r="CW22" i="1"/>
  <c r="CZ22" i="1" s="1"/>
  <c r="C64" i="2"/>
  <c r="DC22" i="1" l="1"/>
  <c r="DD22" i="1"/>
  <c r="DC23" i="1"/>
  <c r="DD23" i="1" s="1"/>
  <c r="DC19" i="1"/>
  <c r="DD19" i="1"/>
  <c r="DE19" i="1"/>
  <c r="DF22" i="1"/>
  <c r="DC26" i="1"/>
  <c r="DD26" i="1" s="1"/>
  <c r="DC20" i="1"/>
  <c r="DF20" i="1" s="1"/>
  <c r="DD20" i="1"/>
  <c r="DC17" i="1"/>
  <c r="DD17" i="1" s="1"/>
  <c r="DE26" i="1"/>
  <c r="DE18" i="1"/>
  <c r="DF23" i="1"/>
  <c r="DC24" i="1"/>
  <c r="DE24" i="1" s="1"/>
  <c r="DD24" i="1"/>
  <c r="DC18" i="1"/>
  <c r="DD18" i="1" s="1"/>
  <c r="DE23" i="1"/>
  <c r="DE17" i="1"/>
  <c r="DF19" i="1"/>
  <c r="DF26" i="1"/>
  <c r="DF18" i="1"/>
  <c r="DD25" i="1"/>
  <c r="DC25" i="1"/>
  <c r="DF25" i="1" s="1"/>
  <c r="DC21" i="1"/>
  <c r="DD21" i="1"/>
  <c r="DE25" i="1"/>
  <c r="DE22" i="1"/>
  <c r="DE21" i="1"/>
  <c r="DF21" i="1"/>
  <c r="DF24" i="1"/>
  <c r="DF17" i="1"/>
  <c r="DI7" i="1" l="1" a="1"/>
  <c r="DI7" i="1" s="1"/>
  <c r="D65" i="2" s="1"/>
  <c r="DH7" i="1" a="1"/>
  <c r="DH7" i="1" s="1"/>
  <c r="DD27" i="1"/>
  <c r="DI9" i="1" a="1"/>
  <c r="DI9" i="1" s="1"/>
  <c r="J65" i="2" s="1"/>
  <c r="DF27" i="1"/>
  <c r="DH9" i="1" s="1" a="1"/>
  <c r="DH9" i="1" s="1"/>
  <c r="DE20" i="1"/>
  <c r="DH8" i="1" a="1"/>
  <c r="DH8" i="1" s="1"/>
  <c r="DE27" i="1"/>
  <c r="DI8" i="1" s="1" a="1"/>
  <c r="DI8" i="1" s="1"/>
  <c r="G65" i="2" s="1"/>
  <c r="DJ17" i="1" l="1"/>
  <c r="DM17" i="1" s="1"/>
  <c r="DJ19" i="1"/>
  <c r="DM19" i="1" s="1"/>
  <c r="DJ21" i="1"/>
  <c r="DM21" i="1" s="1"/>
  <c r="DJ18" i="1"/>
  <c r="DM18" i="1" s="1"/>
  <c r="DJ23" i="1"/>
  <c r="DM23" i="1" s="1"/>
  <c r="DJ25" i="1"/>
  <c r="DM25" i="1" s="1"/>
  <c r="DJ20" i="1"/>
  <c r="DM20" i="1" s="1"/>
  <c r="DJ22" i="1"/>
  <c r="DM22" i="1" s="1"/>
  <c r="DJ26" i="1"/>
  <c r="DM26" i="1" s="1"/>
  <c r="DJ24" i="1"/>
  <c r="DM24" i="1" s="1"/>
  <c r="I65" i="2"/>
  <c r="DI18" i="1"/>
  <c r="DL18" i="1" s="1"/>
  <c r="DI19" i="1"/>
  <c r="DL19" i="1" s="1"/>
  <c r="DI20" i="1"/>
  <c r="DL20" i="1" s="1"/>
  <c r="DI21" i="1"/>
  <c r="DL21" i="1" s="1"/>
  <c r="DI17" i="1"/>
  <c r="DL17" i="1" s="1"/>
  <c r="DI22" i="1"/>
  <c r="DL22" i="1" s="1"/>
  <c r="DI23" i="1"/>
  <c r="DL23" i="1" s="1"/>
  <c r="DI24" i="1"/>
  <c r="DL24" i="1" s="1"/>
  <c r="DI25" i="1"/>
  <c r="DL25" i="1" s="1"/>
  <c r="DI26" i="1"/>
  <c r="DL26" i="1" s="1"/>
  <c r="F65" i="2"/>
  <c r="DH17" i="1"/>
  <c r="DK17" i="1" s="1"/>
  <c r="DH18" i="1"/>
  <c r="DK18" i="1" s="1"/>
  <c r="DH20" i="1"/>
  <c r="DK20" i="1" s="1"/>
  <c r="DH22" i="1"/>
  <c r="DK22" i="1" s="1"/>
  <c r="DH24" i="1"/>
  <c r="DK24" i="1" s="1"/>
  <c r="DH26" i="1"/>
  <c r="DK26" i="1" s="1"/>
  <c r="DH19" i="1"/>
  <c r="DK19" i="1" s="1"/>
  <c r="DH21" i="1"/>
  <c r="DK21" i="1" s="1"/>
  <c r="DH23" i="1"/>
  <c r="DK23" i="1" s="1"/>
  <c r="DH25" i="1"/>
  <c r="DK25" i="1" s="1"/>
  <c r="C65" i="2"/>
  <c r="DN22" i="1" l="1"/>
  <c r="DO22" i="1" s="1"/>
  <c r="DN25" i="1"/>
  <c r="DO25" i="1" s="1"/>
  <c r="DN26" i="1"/>
  <c r="DO26" i="1" s="1"/>
  <c r="DN18" i="1"/>
  <c r="DO18" i="1" s="1"/>
  <c r="DP25" i="1"/>
  <c r="DP18" i="1"/>
  <c r="DQ18" i="1"/>
  <c r="DN21" i="1"/>
  <c r="DO21" i="1" s="1"/>
  <c r="DN20" i="1"/>
  <c r="DO20" i="1"/>
  <c r="DN23" i="1"/>
  <c r="DP23" i="1" s="1"/>
  <c r="DN24" i="1"/>
  <c r="DO24" i="1"/>
  <c r="DN17" i="1"/>
  <c r="DP17" i="1" s="1"/>
  <c r="DP24" i="1"/>
  <c r="DP21" i="1"/>
  <c r="DQ20" i="1"/>
  <c r="DP20" i="1"/>
  <c r="DQ24" i="1"/>
  <c r="DQ25" i="1"/>
  <c r="DN19" i="1"/>
  <c r="DQ19" i="1" s="1"/>
  <c r="DO19" i="1"/>
  <c r="DP22" i="1"/>
  <c r="DQ26" i="1"/>
  <c r="DQ23" i="1"/>
  <c r="DQ17" i="1"/>
  <c r="DS9" i="1" l="1" a="1"/>
  <c r="DS9" i="1" s="1"/>
  <c r="DQ27" i="1"/>
  <c r="DQ21" i="1"/>
  <c r="DT9" i="1" s="1" a="1"/>
  <c r="DT9" i="1" s="1"/>
  <c r="J66" i="2" s="1"/>
  <c r="D50" i="2" s="1"/>
  <c r="DO17" i="1"/>
  <c r="DO23" i="1"/>
  <c r="DP26" i="1"/>
  <c r="DP19" i="1"/>
  <c r="DQ22" i="1"/>
  <c r="DU17" i="1" l="1"/>
  <c r="DX17" i="1" s="1"/>
  <c r="DU18" i="1"/>
  <c r="DX18" i="1" s="1"/>
  <c r="DU20" i="1"/>
  <c r="DX20" i="1" s="1"/>
  <c r="DU19" i="1"/>
  <c r="DX19" i="1" s="1"/>
  <c r="DU22" i="1"/>
  <c r="DX22" i="1" s="1"/>
  <c r="DU24" i="1"/>
  <c r="DX24" i="1" s="1"/>
  <c r="DU26" i="1"/>
  <c r="DX26" i="1" s="1"/>
  <c r="DU21" i="1"/>
  <c r="DX21" i="1" s="1"/>
  <c r="DU23" i="1"/>
  <c r="DX23" i="1" s="1"/>
  <c r="DU25" i="1"/>
  <c r="DX25" i="1" s="1"/>
  <c r="I66" i="2"/>
  <c r="C50" i="2" s="1"/>
  <c r="DS7" i="1" a="1"/>
  <c r="DS7" i="1" s="1"/>
  <c r="DT7" i="1" a="1"/>
  <c r="DT7" i="1" s="1"/>
  <c r="D66" i="2" s="1"/>
  <c r="D48" i="2" s="1"/>
  <c r="DO27" i="1"/>
  <c r="DP27" i="1"/>
  <c r="DS8" i="1" s="1" a="1"/>
  <c r="DS8" i="1" s="1"/>
  <c r="DT8" i="1" a="1"/>
  <c r="DT8" i="1" s="1"/>
  <c r="G66" i="2" s="1"/>
  <c r="D49" i="2" s="1"/>
  <c r="DT17" i="1" l="1"/>
  <c r="DW17" i="1" s="1"/>
  <c r="DT19" i="1"/>
  <c r="DW19" i="1" s="1"/>
  <c r="DT18" i="1"/>
  <c r="DW18" i="1" s="1"/>
  <c r="DT21" i="1"/>
  <c r="DW21" i="1" s="1"/>
  <c r="DT20" i="1"/>
  <c r="DW20" i="1" s="1"/>
  <c r="DT22" i="1"/>
  <c r="DW22" i="1" s="1"/>
  <c r="DT24" i="1"/>
  <c r="DW24" i="1" s="1"/>
  <c r="DT25" i="1"/>
  <c r="DW25" i="1" s="1"/>
  <c r="DT26" i="1"/>
  <c r="DW26" i="1" s="1"/>
  <c r="DT23" i="1"/>
  <c r="DW23" i="1" s="1"/>
  <c r="F66" i="2"/>
  <c r="C49" i="2" s="1"/>
  <c r="DS17" i="1"/>
  <c r="DV17" i="1" s="1"/>
  <c r="DS19" i="1"/>
  <c r="DV19" i="1" s="1"/>
  <c r="DS21" i="1"/>
  <c r="DV21" i="1" s="1"/>
  <c r="DS23" i="1"/>
  <c r="DV23" i="1" s="1"/>
  <c r="DS25" i="1"/>
  <c r="DV25" i="1" s="1"/>
  <c r="DS18" i="1"/>
  <c r="DV18" i="1" s="1"/>
  <c r="DS22" i="1"/>
  <c r="DV22" i="1" s="1"/>
  <c r="DS24" i="1"/>
  <c r="DV24" i="1" s="1"/>
  <c r="DS20" i="1"/>
  <c r="DV20" i="1" s="1"/>
  <c r="DS26" i="1"/>
  <c r="DV26" i="1" s="1"/>
  <c r="C66" i="2"/>
  <c r="C48" i="2" s="1"/>
  <c r="DY20" i="1" l="1"/>
  <c r="EB20" i="1" s="1"/>
  <c r="DZ20" i="1"/>
  <c r="DY25" i="1"/>
  <c r="EB25" i="1" s="1"/>
  <c r="DY17" i="1"/>
  <c r="EB17" i="1" s="1"/>
  <c r="DZ17" i="1"/>
  <c r="DY24" i="1"/>
  <c r="EB24" i="1" s="1"/>
  <c r="DZ24" i="1"/>
  <c r="DY23" i="1"/>
  <c r="EB23" i="1" s="1"/>
  <c r="EA18" i="1"/>
  <c r="DY22" i="1"/>
  <c r="EB22" i="1" s="1"/>
  <c r="DZ22" i="1"/>
  <c r="DY21" i="1"/>
  <c r="EB21" i="1" s="1"/>
  <c r="EA22" i="1"/>
  <c r="EA19" i="1"/>
  <c r="DY26" i="1"/>
  <c r="EB26" i="1" s="1"/>
  <c r="DY18" i="1"/>
  <c r="EB18" i="1" s="1"/>
  <c r="DZ18" i="1"/>
  <c r="DZ19" i="1"/>
  <c r="DY19" i="1"/>
  <c r="EB19" i="1" s="1"/>
  <c r="EA20" i="1"/>
  <c r="EA17" i="1"/>
  <c r="EA26" i="1" l="1"/>
  <c r="EA21" i="1"/>
  <c r="DZ21" i="1"/>
  <c r="ED7" i="1" s="1" a="1"/>
  <c r="ED7" i="1" s="1"/>
  <c r="EA24" i="1"/>
  <c r="ED9" i="1" a="1"/>
  <c r="ED9" i="1" s="1"/>
  <c r="EE9" i="1" a="1"/>
  <c r="EE9" i="1" s="1"/>
  <c r="J67" i="2" s="1"/>
  <c r="EB27" i="1"/>
  <c r="DZ26" i="1"/>
  <c r="EA23" i="1"/>
  <c r="EA27" i="1" s="1"/>
  <c r="DZ23" i="1"/>
  <c r="DZ27" i="1" s="1"/>
  <c r="EA25" i="1"/>
  <c r="DZ25" i="1"/>
  <c r="C67" i="2" l="1"/>
  <c r="ED8" i="1" a="1"/>
  <c r="ED8" i="1" s="1"/>
  <c r="EE7" i="1" a="1"/>
  <c r="EE7" i="1" s="1"/>
  <c r="D67" i="2" s="1"/>
  <c r="EE8" i="1" a="1"/>
  <c r="EE8" i="1" s="1"/>
  <c r="G67" i="2" s="1"/>
  <c r="EF17" i="1"/>
  <c r="EI17" i="1" s="1"/>
  <c r="EF19" i="1"/>
  <c r="EI19" i="1" s="1"/>
  <c r="EF21" i="1"/>
  <c r="EI21" i="1" s="1"/>
  <c r="EF18" i="1"/>
  <c r="EI18" i="1" s="1"/>
  <c r="EF20" i="1"/>
  <c r="EI20" i="1" s="1"/>
  <c r="EF23" i="1"/>
  <c r="EI23" i="1" s="1"/>
  <c r="EF25" i="1"/>
  <c r="EI25" i="1" s="1"/>
  <c r="EF24" i="1"/>
  <c r="EI24" i="1" s="1"/>
  <c r="EF22" i="1"/>
  <c r="EI22" i="1" s="1"/>
  <c r="EF26" i="1"/>
  <c r="EI26" i="1" s="1"/>
  <c r="I67" i="2"/>
  <c r="EE17" i="1" l="1"/>
  <c r="EH17" i="1" s="1"/>
  <c r="EE18" i="1"/>
  <c r="EH18" i="1" s="1"/>
  <c r="EE20" i="1"/>
  <c r="EH20" i="1" s="1"/>
  <c r="EE22" i="1"/>
  <c r="EH22" i="1" s="1"/>
  <c r="EE24" i="1"/>
  <c r="EH24" i="1" s="1"/>
  <c r="EE19" i="1"/>
  <c r="EH19" i="1" s="1"/>
  <c r="EE21" i="1"/>
  <c r="EH21" i="1" s="1"/>
  <c r="EE23" i="1"/>
  <c r="EH23" i="1" s="1"/>
  <c r="EE25" i="1"/>
  <c r="EH25" i="1" s="1"/>
  <c r="EE26" i="1"/>
  <c r="EH26" i="1" s="1"/>
  <c r="F67" i="2"/>
  <c r="ED21" i="1"/>
  <c r="EG21" i="1" s="1"/>
  <c r="ED19" i="1"/>
  <c r="EG19" i="1" s="1"/>
  <c r="ED26" i="1"/>
  <c r="EG26" i="1" s="1"/>
  <c r="ED20" i="1"/>
  <c r="EG20" i="1" s="1"/>
  <c r="ED25" i="1"/>
  <c r="EG25" i="1" s="1"/>
  <c r="ED24" i="1"/>
  <c r="EG24" i="1" s="1"/>
  <c r="ED18" i="1"/>
  <c r="EG18" i="1" s="1"/>
  <c r="ED23" i="1"/>
  <c r="EG23" i="1" s="1"/>
  <c r="ED22" i="1"/>
  <c r="EG22" i="1" s="1"/>
  <c r="ED17" i="1"/>
  <c r="EG17" i="1" s="1"/>
  <c r="EJ25" i="1" l="1"/>
  <c r="EM25" i="1" s="1"/>
  <c r="EK25" i="1"/>
  <c r="EJ26" i="1"/>
  <c r="EM26" i="1" s="1"/>
  <c r="EL18" i="1"/>
  <c r="EJ17" i="1"/>
  <c r="EM17" i="1" s="1"/>
  <c r="EJ19" i="1"/>
  <c r="EM19" i="1" s="1"/>
  <c r="EK19" i="1"/>
  <c r="EL25" i="1"/>
  <c r="EJ22" i="1"/>
  <c r="EM22" i="1" s="1"/>
  <c r="EK22" i="1"/>
  <c r="EJ18" i="1"/>
  <c r="EM18" i="1" s="1"/>
  <c r="EJ21" i="1"/>
  <c r="EM21" i="1" s="1"/>
  <c r="EK21" i="1"/>
  <c r="EJ23" i="1"/>
  <c r="EM23" i="1" s="1"/>
  <c r="EK23" i="1"/>
  <c r="EJ24" i="1"/>
  <c r="EM24" i="1" s="1"/>
  <c r="EK24" i="1"/>
  <c r="EJ20" i="1"/>
  <c r="EM20" i="1" s="1"/>
  <c r="EP9" i="1" l="1" a="1"/>
  <c r="EP9" i="1" s="1"/>
  <c r="J68" i="2" s="1"/>
  <c r="EO9" i="1" a="1"/>
  <c r="EO9" i="1" s="1"/>
  <c r="EM27" i="1"/>
  <c r="EK26" i="1"/>
  <c r="EK20" i="1"/>
  <c r="EL20" i="1"/>
  <c r="EL22" i="1"/>
  <c r="EL17" i="1"/>
  <c r="EL19" i="1"/>
  <c r="EL21" i="1"/>
  <c r="EL23" i="1"/>
  <c r="EK18" i="1"/>
  <c r="EL24" i="1"/>
  <c r="EK17" i="1"/>
  <c r="EL26" i="1"/>
  <c r="EK27" i="1" l="1"/>
  <c r="EO7" i="1" s="1" a="1"/>
  <c r="EO7" i="1" s="1"/>
  <c r="EP8" i="1" a="1"/>
  <c r="EP8" i="1" s="1"/>
  <c r="G68" i="2" s="1"/>
  <c r="EL27" i="1"/>
  <c r="EO8" i="1" s="1" a="1"/>
  <c r="EO8" i="1" s="1"/>
  <c r="EQ17" i="1"/>
  <c r="ET17" i="1" s="1"/>
  <c r="EQ18" i="1"/>
  <c r="ET18" i="1" s="1"/>
  <c r="EQ20" i="1"/>
  <c r="ET20" i="1" s="1"/>
  <c r="EQ22" i="1"/>
  <c r="ET22" i="1" s="1"/>
  <c r="EQ24" i="1"/>
  <c r="ET24" i="1" s="1"/>
  <c r="EQ26" i="1"/>
  <c r="ET26" i="1" s="1"/>
  <c r="EQ19" i="1"/>
  <c r="ET19" i="1" s="1"/>
  <c r="EQ21" i="1"/>
  <c r="ET21" i="1" s="1"/>
  <c r="EQ25" i="1"/>
  <c r="ET25" i="1" s="1"/>
  <c r="EQ23" i="1"/>
  <c r="ET23" i="1" s="1"/>
  <c r="I68" i="2"/>
  <c r="EP19" i="1" l="1"/>
  <c r="ES19" i="1" s="1"/>
  <c r="EP17" i="1"/>
  <c r="ES17" i="1" s="1"/>
  <c r="EP21" i="1"/>
  <c r="ES21" i="1" s="1"/>
  <c r="EP20" i="1"/>
  <c r="ES20" i="1" s="1"/>
  <c r="EP18" i="1"/>
  <c r="ES18" i="1" s="1"/>
  <c r="EP22" i="1"/>
  <c r="ES22" i="1" s="1"/>
  <c r="EP24" i="1"/>
  <c r="ES24" i="1" s="1"/>
  <c r="EP23" i="1"/>
  <c r="ES23" i="1" s="1"/>
  <c r="EP26" i="1"/>
  <c r="ES26" i="1" s="1"/>
  <c r="EP25" i="1"/>
  <c r="ES25" i="1" s="1"/>
  <c r="F68" i="2"/>
  <c r="C68" i="2"/>
  <c r="EP7" i="1" a="1"/>
  <c r="EP7" i="1" s="1"/>
  <c r="D68" i="2" s="1"/>
  <c r="EO24" i="1" l="1"/>
  <c r="ER24" i="1" s="1"/>
  <c r="EO18" i="1"/>
  <c r="ER18" i="1" s="1"/>
  <c r="EO22" i="1"/>
  <c r="ER22" i="1" s="1"/>
  <c r="EO19" i="1"/>
  <c r="ER19" i="1" s="1"/>
  <c r="EO26" i="1"/>
  <c r="ER26" i="1" s="1"/>
  <c r="EO20" i="1"/>
  <c r="ER20" i="1" s="1"/>
  <c r="EO17" i="1"/>
  <c r="ER17" i="1" s="1"/>
  <c r="EO25" i="1"/>
  <c r="ER25" i="1" s="1"/>
  <c r="EO21" i="1"/>
  <c r="ER21" i="1" s="1"/>
  <c r="EO23" i="1"/>
  <c r="ER23" i="1" s="1"/>
  <c r="EU21" i="1" l="1"/>
  <c r="EV21" i="1" s="1"/>
  <c r="EU19" i="1"/>
  <c r="EV19" i="1"/>
  <c r="EU25" i="1"/>
  <c r="EV25" i="1" s="1"/>
  <c r="EU17" i="1"/>
  <c r="EV17" i="1"/>
  <c r="EU22" i="1"/>
  <c r="EV22" i="1" s="1"/>
  <c r="EU20" i="1"/>
  <c r="EV20" i="1"/>
  <c r="EU18" i="1"/>
  <c r="EV18" i="1" s="1"/>
  <c r="EU23" i="1"/>
  <c r="EV23" i="1"/>
  <c r="EU26" i="1"/>
  <c r="EV26" i="1" s="1"/>
  <c r="EU24" i="1"/>
  <c r="EV24" i="1"/>
  <c r="EZ7" i="1" l="1" a="1"/>
  <c r="EZ7" i="1" s="1"/>
  <c r="FA7" i="1" a="1"/>
  <c r="FA7" i="1" s="1"/>
  <c r="D69" i="2" s="1"/>
  <c r="EV27" i="1"/>
  <c r="EX23" i="1"/>
  <c r="EW23" i="1"/>
  <c r="EX20" i="1"/>
  <c r="EW20" i="1"/>
  <c r="EX19" i="1"/>
  <c r="EW19" i="1"/>
  <c r="EX24" i="1"/>
  <c r="EW24" i="1"/>
  <c r="EX17" i="1"/>
  <c r="EW17" i="1"/>
  <c r="EX26" i="1"/>
  <c r="EW26" i="1"/>
  <c r="EX18" i="1"/>
  <c r="EW18" i="1"/>
  <c r="EX22" i="1"/>
  <c r="EW22" i="1"/>
  <c r="EX25" i="1"/>
  <c r="EW25" i="1"/>
  <c r="EX21" i="1"/>
  <c r="EW21" i="1"/>
  <c r="EZ9" i="1" l="1" a="1"/>
  <c r="EZ9" i="1" s="1"/>
  <c r="FA9" i="1" a="1"/>
  <c r="FA9" i="1" s="1"/>
  <c r="J69" i="2" s="1"/>
  <c r="EX27" i="1"/>
  <c r="EW27" i="1"/>
  <c r="EZ8" i="1" s="1" a="1"/>
  <c r="EZ8" i="1" s="1"/>
  <c r="EZ17" i="1"/>
  <c r="FC17" i="1" s="1"/>
  <c r="EZ18" i="1"/>
  <c r="FC18" i="1" s="1"/>
  <c r="EZ20" i="1"/>
  <c r="FC20" i="1" s="1"/>
  <c r="EZ22" i="1"/>
  <c r="FC22" i="1" s="1"/>
  <c r="EZ24" i="1"/>
  <c r="FC24" i="1" s="1"/>
  <c r="EZ26" i="1"/>
  <c r="FC26" i="1" s="1"/>
  <c r="EZ19" i="1"/>
  <c r="FC19" i="1" s="1"/>
  <c r="EZ23" i="1"/>
  <c r="FC23" i="1" s="1"/>
  <c r="EZ25" i="1"/>
  <c r="FC25" i="1" s="1"/>
  <c r="EZ21" i="1"/>
  <c r="FC21" i="1" s="1"/>
  <c r="C69" i="2"/>
  <c r="F69" i="2" l="1"/>
  <c r="FA8" i="1" a="1"/>
  <c r="FA8" i="1" s="1"/>
  <c r="G69" i="2" s="1"/>
  <c r="FB17" i="1"/>
  <c r="FE17" i="1" s="1"/>
  <c r="FB19" i="1"/>
  <c r="FE19" i="1" s="1"/>
  <c r="FB21" i="1"/>
  <c r="FE21" i="1" s="1"/>
  <c r="FB23" i="1"/>
  <c r="FE23" i="1" s="1"/>
  <c r="FB25" i="1"/>
  <c r="FE25" i="1" s="1"/>
  <c r="FB18" i="1"/>
  <c r="FE18" i="1" s="1"/>
  <c r="FB22" i="1"/>
  <c r="FE22" i="1" s="1"/>
  <c r="FB24" i="1"/>
  <c r="FE24" i="1" s="1"/>
  <c r="FB26" i="1"/>
  <c r="FE26" i="1" s="1"/>
  <c r="FB20" i="1"/>
  <c r="FE20" i="1" s="1"/>
  <c r="I69" i="2"/>
  <c r="FA23" i="1" l="1"/>
  <c r="FD23" i="1" s="1"/>
  <c r="FA20" i="1"/>
  <c r="FD20" i="1" s="1"/>
  <c r="FA24" i="1"/>
  <c r="FD24" i="1" s="1"/>
  <c r="FA19" i="1"/>
  <c r="FD19" i="1" s="1"/>
  <c r="FA26" i="1"/>
  <c r="FD26" i="1" s="1"/>
  <c r="FA22" i="1"/>
  <c r="FD22" i="1" s="1"/>
  <c r="FA17" i="1"/>
  <c r="FD17" i="1" s="1"/>
  <c r="FA25" i="1"/>
  <c r="FD25" i="1" s="1"/>
  <c r="FA21" i="1"/>
  <c r="FD21" i="1" s="1"/>
  <c r="FA18" i="1"/>
  <c r="FD18" i="1" s="1"/>
  <c r="FH18" i="1" l="1"/>
  <c r="FF18" i="1"/>
  <c r="FF22" i="1"/>
  <c r="FH19" i="1"/>
  <c r="FF19" i="1"/>
  <c r="FF20" i="1"/>
  <c r="FH26" i="1"/>
  <c r="FF26" i="1"/>
  <c r="FF24" i="1"/>
  <c r="FH23" i="1"/>
  <c r="FF23" i="1"/>
  <c r="FF21" i="1"/>
  <c r="FH25" i="1"/>
  <c r="FF25" i="1"/>
  <c r="FF17" i="1"/>
  <c r="FH17" i="1" s="1"/>
  <c r="FG24" i="1" l="1"/>
  <c r="FI24" i="1"/>
  <c r="FG20" i="1"/>
  <c r="FI20" i="1"/>
  <c r="FG22" i="1"/>
  <c r="FI22" i="1"/>
  <c r="FG21" i="1"/>
  <c r="FI21" i="1"/>
  <c r="FH21" i="1"/>
  <c r="FH24" i="1"/>
  <c r="FH20" i="1"/>
  <c r="FH22" i="1"/>
  <c r="FG17" i="1"/>
  <c r="FI17" i="1"/>
  <c r="FG25" i="1"/>
  <c r="FI25" i="1"/>
  <c r="FG23" i="1"/>
  <c r="FI23" i="1"/>
  <c r="FG26" i="1"/>
  <c r="FI26" i="1"/>
  <c r="FG19" i="1"/>
  <c r="FI19" i="1"/>
  <c r="FG18" i="1"/>
  <c r="FI18" i="1"/>
  <c r="FL7" i="1" l="1" a="1"/>
  <c r="FL7" i="1" s="1"/>
  <c r="D70" i="2" s="1"/>
  <c r="FK7" i="1" a="1"/>
  <c r="FK7" i="1" s="1"/>
  <c r="FG27" i="1"/>
  <c r="FH27" i="1"/>
  <c r="FK8" i="1" s="1" a="1"/>
  <c r="FK8" i="1" s="1"/>
  <c r="FL8" i="1" a="1"/>
  <c r="FL8" i="1" s="1"/>
  <c r="G70" i="2" s="1"/>
  <c r="FL9" i="1" a="1"/>
  <c r="FL9" i="1" s="1"/>
  <c r="J70" i="2" s="1"/>
  <c r="FK9" i="1" a="1"/>
  <c r="FK9" i="1" s="1"/>
  <c r="FI27" i="1"/>
  <c r="FL17" i="1" l="1"/>
  <c r="FO17" i="1" s="1"/>
  <c r="FL19" i="1"/>
  <c r="FO19" i="1" s="1"/>
  <c r="FL18" i="1"/>
  <c r="FO18" i="1" s="1"/>
  <c r="FL21" i="1"/>
  <c r="FO21" i="1" s="1"/>
  <c r="FL24" i="1"/>
  <c r="FO24" i="1" s="1"/>
  <c r="FL23" i="1"/>
  <c r="FO23" i="1" s="1"/>
  <c r="FL20" i="1"/>
  <c r="FO20" i="1" s="1"/>
  <c r="FL22" i="1"/>
  <c r="FO22" i="1" s="1"/>
  <c r="FL25" i="1"/>
  <c r="FO25" i="1" s="1"/>
  <c r="FL26" i="1"/>
  <c r="FO26" i="1" s="1"/>
  <c r="F70" i="2"/>
  <c r="FM18" i="1"/>
  <c r="FP18" i="1" s="1"/>
  <c r="FM20" i="1"/>
  <c r="FP20" i="1" s="1"/>
  <c r="FM17" i="1"/>
  <c r="FP17" i="1" s="1"/>
  <c r="FM19" i="1"/>
  <c r="FP19" i="1" s="1"/>
  <c r="FM22" i="1"/>
  <c r="FP22" i="1" s="1"/>
  <c r="FM24" i="1"/>
  <c r="FP24" i="1" s="1"/>
  <c r="FM26" i="1"/>
  <c r="FP26" i="1" s="1"/>
  <c r="FM21" i="1"/>
  <c r="FP21" i="1" s="1"/>
  <c r="FM23" i="1"/>
  <c r="FP23" i="1" s="1"/>
  <c r="FM25" i="1"/>
  <c r="FP25" i="1" s="1"/>
  <c r="I70" i="2"/>
  <c r="FK17" i="1"/>
  <c r="FN17" i="1" s="1"/>
  <c r="FK19" i="1"/>
  <c r="FN19" i="1" s="1"/>
  <c r="FK21" i="1"/>
  <c r="FN21" i="1" s="1"/>
  <c r="FK18" i="1"/>
  <c r="FN18" i="1" s="1"/>
  <c r="FK23" i="1"/>
  <c r="FN23" i="1" s="1"/>
  <c r="FK25" i="1"/>
  <c r="FN25" i="1" s="1"/>
  <c r="FK20" i="1"/>
  <c r="FN20" i="1" s="1"/>
  <c r="FK22" i="1"/>
  <c r="FN22" i="1" s="1"/>
  <c r="FK24" i="1"/>
  <c r="FN24" i="1" s="1"/>
  <c r="FK26" i="1"/>
  <c r="FN26" i="1" s="1"/>
  <c r="C70" i="2"/>
  <c r="FQ26" i="1" l="1"/>
  <c r="FR26" i="1"/>
  <c r="FQ25" i="1"/>
  <c r="FR25" i="1" s="1"/>
  <c r="FQ19" i="1"/>
  <c r="FR19" i="1" s="1"/>
  <c r="FQ24" i="1"/>
  <c r="FR24" i="1" s="1"/>
  <c r="FQ23" i="1"/>
  <c r="FT23" i="1" s="1"/>
  <c r="FR17" i="1"/>
  <c r="FQ17" i="1"/>
  <c r="FT19" i="1"/>
  <c r="FQ22" i="1"/>
  <c r="FS22" i="1" s="1"/>
  <c r="FQ18" i="1"/>
  <c r="FT18" i="1" s="1"/>
  <c r="FT26" i="1"/>
  <c r="FT17" i="1"/>
  <c r="FS26" i="1"/>
  <c r="FS23" i="1"/>
  <c r="FS19" i="1"/>
  <c r="FQ20" i="1"/>
  <c r="FT20" i="1" s="1"/>
  <c r="FR20" i="1"/>
  <c r="FQ21" i="1"/>
  <c r="FR21" i="1" s="1"/>
  <c r="FT25" i="1"/>
  <c r="FT24" i="1"/>
  <c r="FS25" i="1"/>
  <c r="FS24" i="1"/>
  <c r="FS17" i="1"/>
  <c r="FS20" i="1" l="1"/>
  <c r="FT22" i="1"/>
  <c r="FR22" i="1"/>
  <c r="FR23" i="1"/>
  <c r="FS21" i="1"/>
  <c r="FW8" i="1" s="1" a="1"/>
  <c r="FW8" i="1" s="1"/>
  <c r="G71" i="2" s="1"/>
  <c r="FT21" i="1"/>
  <c r="FR18" i="1"/>
  <c r="FS18" i="1"/>
  <c r="FS27" i="1" s="1"/>
  <c r="FV8" i="1" s="1" a="1"/>
  <c r="FV8" i="1" s="1"/>
  <c r="FW18" i="1" l="1"/>
  <c r="FZ18" i="1" s="1"/>
  <c r="FW20" i="1"/>
  <c r="FZ20" i="1" s="1"/>
  <c r="FW19" i="1"/>
  <c r="FZ19" i="1" s="1"/>
  <c r="FW22" i="1"/>
  <c r="FZ22" i="1" s="1"/>
  <c r="FW21" i="1"/>
  <c r="FZ21" i="1" s="1"/>
  <c r="FW23" i="1"/>
  <c r="FZ23" i="1" s="1"/>
  <c r="FW17" i="1"/>
  <c r="FZ17" i="1" s="1"/>
  <c r="FW26" i="1"/>
  <c r="FZ26" i="1" s="1"/>
  <c r="FW25" i="1"/>
  <c r="FZ25" i="1" s="1"/>
  <c r="FW24" i="1"/>
  <c r="FZ24" i="1" s="1"/>
  <c r="F71" i="2"/>
  <c r="FW7" i="1" a="1"/>
  <c r="FW7" i="1" s="1"/>
  <c r="D71" i="2" s="1"/>
  <c r="FR27" i="1"/>
  <c r="FV7" i="1" s="1" a="1"/>
  <c r="FV7" i="1" s="1"/>
  <c r="FT27" i="1"/>
  <c r="FV9" i="1" s="1" a="1"/>
  <c r="FV9" i="1" s="1"/>
  <c r="I71" i="2" l="1"/>
  <c r="FW9" i="1" a="1"/>
  <c r="FW9" i="1" s="1"/>
  <c r="J71" i="2" s="1"/>
  <c r="FV18" i="1"/>
  <c r="FY18" i="1" s="1"/>
  <c r="FV20" i="1"/>
  <c r="FY20" i="1" s="1"/>
  <c r="FV17" i="1"/>
  <c r="FY17" i="1" s="1"/>
  <c r="FV19" i="1"/>
  <c r="FY19" i="1" s="1"/>
  <c r="FV22" i="1"/>
  <c r="FY22" i="1" s="1"/>
  <c r="FV24" i="1"/>
  <c r="FY24" i="1" s="1"/>
  <c r="FV26" i="1"/>
  <c r="FY26" i="1" s="1"/>
  <c r="FV21" i="1"/>
  <c r="FY21" i="1" s="1"/>
  <c r="FV23" i="1"/>
  <c r="FY23" i="1" s="1"/>
  <c r="FV25" i="1"/>
  <c r="FY25" i="1" s="1"/>
  <c r="C71" i="2"/>
  <c r="FX24" i="1" l="1"/>
  <c r="GA24" i="1" s="1"/>
  <c r="FX18" i="1"/>
  <c r="GA18" i="1" s="1"/>
  <c r="FX25" i="1"/>
  <c r="GA25" i="1" s="1"/>
  <c r="FX21" i="1"/>
  <c r="GA21" i="1" s="1"/>
  <c r="GB21" i="1" s="1"/>
  <c r="GB25" i="1"/>
  <c r="GD25" i="1" s="1"/>
  <c r="FX22" i="1"/>
  <c r="GA22" i="1" s="1"/>
  <c r="GB22" i="1" s="1"/>
  <c r="FX23" i="1"/>
  <c r="GA23" i="1" s="1"/>
  <c r="FX19" i="1"/>
  <c r="GA19" i="1" s="1"/>
  <c r="GB24" i="1"/>
  <c r="GD24" i="1" s="1"/>
  <c r="GB23" i="1"/>
  <c r="GD23" i="1" s="1"/>
  <c r="GC23" i="1"/>
  <c r="GB18" i="1"/>
  <c r="GD18" i="1" s="1"/>
  <c r="FX26" i="1"/>
  <c r="GA26" i="1" s="1"/>
  <c r="FX20" i="1"/>
  <c r="GA20" i="1" s="1"/>
  <c r="FX17" i="1"/>
  <c r="GA17" i="1" s="1"/>
  <c r="GD21" i="1" l="1"/>
  <c r="GC21" i="1"/>
  <c r="GD22" i="1"/>
  <c r="GC22" i="1"/>
  <c r="GC18" i="1"/>
  <c r="GC24" i="1"/>
  <c r="GC25" i="1"/>
  <c r="GE18" i="1"/>
  <c r="GB17" i="1"/>
  <c r="GE24" i="1"/>
  <c r="GE23" i="1"/>
  <c r="GE21" i="1"/>
  <c r="GE20" i="1"/>
  <c r="GE22" i="1"/>
  <c r="GE25" i="1"/>
  <c r="GB26" i="1"/>
  <c r="GB19" i="1"/>
  <c r="GE19" i="1" s="1"/>
  <c r="GB20" i="1"/>
  <c r="GD17" i="1" l="1"/>
  <c r="GC17" i="1"/>
  <c r="GD26" i="1"/>
  <c r="GC26" i="1"/>
  <c r="GE26" i="1"/>
  <c r="GD19" i="1"/>
  <c r="GC19" i="1"/>
  <c r="GD20" i="1"/>
  <c r="GC20" i="1"/>
  <c r="GE17" i="1"/>
  <c r="GH9" i="1" l="1" a="1"/>
  <c r="GH9" i="1" s="1"/>
  <c r="J72" i="2" s="1"/>
  <c r="GG9" i="1" a="1"/>
  <c r="GG9" i="1" s="1"/>
  <c r="GE27" i="1"/>
  <c r="GH7" i="1" a="1"/>
  <c r="GH7" i="1" s="1"/>
  <c r="D72" i="2" s="1"/>
  <c r="GC27" i="1"/>
  <c r="GG7" i="1" s="1" a="1"/>
  <c r="GG7" i="1" s="1"/>
  <c r="GD27" i="1"/>
  <c r="GG8" i="1" s="1" a="1"/>
  <c r="GG8" i="1" s="1"/>
  <c r="F72" i="2" l="1"/>
  <c r="GG17" i="1"/>
  <c r="GJ17" i="1" s="1"/>
  <c r="GG19" i="1"/>
  <c r="GJ19" i="1" s="1"/>
  <c r="GG21" i="1"/>
  <c r="GJ21" i="1" s="1"/>
  <c r="GG18" i="1"/>
  <c r="GJ18" i="1" s="1"/>
  <c r="GG20" i="1"/>
  <c r="GJ20" i="1" s="1"/>
  <c r="GG23" i="1"/>
  <c r="GJ23" i="1" s="1"/>
  <c r="GG25" i="1"/>
  <c r="GJ25" i="1" s="1"/>
  <c r="GG24" i="1"/>
  <c r="GJ24" i="1" s="1"/>
  <c r="GG22" i="1"/>
  <c r="GJ22" i="1" s="1"/>
  <c r="GG26" i="1"/>
  <c r="GJ26" i="1" s="1"/>
  <c r="C72" i="2"/>
  <c r="GH8" i="1" a="1"/>
  <c r="GH8" i="1" s="1"/>
  <c r="G72" i="2" s="1"/>
  <c r="GI18" i="1"/>
  <c r="GL18" i="1" s="1"/>
  <c r="GI20" i="1"/>
  <c r="GL20" i="1" s="1"/>
  <c r="GI22" i="1"/>
  <c r="GL22" i="1" s="1"/>
  <c r="GI24" i="1"/>
  <c r="GL24" i="1" s="1"/>
  <c r="GI26" i="1"/>
  <c r="GL26" i="1" s="1"/>
  <c r="GI19" i="1"/>
  <c r="GL19" i="1" s="1"/>
  <c r="GI23" i="1"/>
  <c r="GL23" i="1" s="1"/>
  <c r="GI21" i="1"/>
  <c r="GL21" i="1" s="1"/>
  <c r="GI25" i="1"/>
  <c r="GL25" i="1" s="1"/>
  <c r="GI17" i="1"/>
  <c r="GL17" i="1" s="1"/>
  <c r="I72" i="2"/>
  <c r="GH26" i="1" l="1"/>
  <c r="GK26" i="1" s="1"/>
  <c r="GH18" i="1"/>
  <c r="GK18" i="1" s="1"/>
  <c r="GM18" i="1"/>
  <c r="GP18" i="1" s="1"/>
  <c r="GH23" i="1"/>
  <c r="GK23" i="1" s="1"/>
  <c r="GH21" i="1"/>
  <c r="GK21" i="1" s="1"/>
  <c r="GM21" i="1" s="1"/>
  <c r="GH25" i="1"/>
  <c r="GK25" i="1" s="1"/>
  <c r="GM25" i="1" s="1"/>
  <c r="GH22" i="1"/>
  <c r="GK22" i="1" s="1"/>
  <c r="GM22" i="1" s="1"/>
  <c r="GH19" i="1"/>
  <c r="GK19" i="1" s="1"/>
  <c r="GP19" i="1"/>
  <c r="GM26" i="1"/>
  <c r="GP26" i="1" s="1"/>
  <c r="GN26" i="1"/>
  <c r="GM23" i="1"/>
  <c r="GP23" i="1" s="1"/>
  <c r="GN23" i="1"/>
  <c r="GM19" i="1"/>
  <c r="GN19" i="1"/>
  <c r="GH24" i="1"/>
  <c r="GK24" i="1" s="1"/>
  <c r="GH20" i="1"/>
  <c r="GK20" i="1" s="1"/>
  <c r="GH17" i="1"/>
  <c r="GK17" i="1" s="1"/>
  <c r="GN22" i="1" l="1"/>
  <c r="GP22" i="1"/>
  <c r="GP25" i="1"/>
  <c r="GN25" i="1"/>
  <c r="GN21" i="1"/>
  <c r="GP21" i="1"/>
  <c r="GO19" i="1"/>
  <c r="GN18" i="1"/>
  <c r="GM17" i="1"/>
  <c r="GO17" i="1" s="1"/>
  <c r="GO22" i="1"/>
  <c r="GO18" i="1"/>
  <c r="GO25" i="1"/>
  <c r="GO21" i="1"/>
  <c r="GO26" i="1"/>
  <c r="GM20" i="1"/>
  <c r="GO20" i="1" s="1"/>
  <c r="GO23" i="1"/>
  <c r="GM24" i="1"/>
  <c r="GN24" i="1" l="1"/>
  <c r="GP24" i="1"/>
  <c r="GN17" i="1"/>
  <c r="GP17" i="1"/>
  <c r="GO24" i="1"/>
  <c r="GO27" i="1" s="1"/>
  <c r="GN20" i="1"/>
  <c r="GP20" i="1"/>
  <c r="GS8" i="1" l="1" a="1"/>
  <c r="GS8" i="1" s="1"/>
  <c r="G73" i="2" s="1"/>
  <c r="GR8" i="1" a="1"/>
  <c r="GR8" i="1" s="1"/>
  <c r="GN27" i="1"/>
  <c r="GR7" i="1" s="1" a="1"/>
  <c r="GR7" i="1" s="1"/>
  <c r="GR9" i="1" a="1"/>
  <c r="GR9" i="1" s="1"/>
  <c r="GS9" i="1" a="1"/>
  <c r="GS9" i="1" s="1"/>
  <c r="J73" i="2" s="1"/>
  <c r="GP27" i="1"/>
  <c r="C73" i="2" l="1"/>
  <c r="GS7" i="1" a="1"/>
  <c r="GS7" i="1" s="1"/>
  <c r="D73" i="2" s="1"/>
  <c r="GT17" i="1"/>
  <c r="GW17" i="1" s="1"/>
  <c r="GT19" i="1"/>
  <c r="GW19" i="1" s="1"/>
  <c r="GT21" i="1"/>
  <c r="GW21" i="1" s="1"/>
  <c r="GT18" i="1"/>
  <c r="GW18" i="1" s="1"/>
  <c r="GT23" i="1"/>
  <c r="GW23" i="1" s="1"/>
  <c r="GT25" i="1"/>
  <c r="GW25" i="1" s="1"/>
  <c r="GT20" i="1"/>
  <c r="GW20" i="1" s="1"/>
  <c r="GT22" i="1"/>
  <c r="GW22" i="1" s="1"/>
  <c r="GT26" i="1"/>
  <c r="GW26" i="1" s="1"/>
  <c r="GT24" i="1"/>
  <c r="GW24" i="1" s="1"/>
  <c r="I73" i="2"/>
  <c r="GS18" i="1"/>
  <c r="GV18" i="1" s="1"/>
  <c r="GS17" i="1"/>
  <c r="GV17" i="1" s="1"/>
  <c r="GS19" i="1"/>
  <c r="GV19" i="1" s="1"/>
  <c r="GS20" i="1"/>
  <c r="GV20" i="1" s="1"/>
  <c r="GS21" i="1"/>
  <c r="GV21" i="1" s="1"/>
  <c r="GS22" i="1"/>
  <c r="GV22" i="1" s="1"/>
  <c r="GS23" i="1"/>
  <c r="GV23" i="1" s="1"/>
  <c r="GS24" i="1"/>
  <c r="GV24" i="1" s="1"/>
  <c r="GS25" i="1"/>
  <c r="GV25" i="1" s="1"/>
  <c r="GS26" i="1"/>
  <c r="GV26" i="1" s="1"/>
  <c r="F73" i="2"/>
  <c r="GR21" i="1" l="1"/>
  <c r="GU21" i="1" s="1"/>
  <c r="GR22" i="1"/>
  <c r="GU22" i="1" s="1"/>
  <c r="GR19" i="1"/>
  <c r="GU19" i="1" s="1"/>
  <c r="GR17" i="1"/>
  <c r="GU17" i="1" s="1"/>
  <c r="GR23" i="1"/>
  <c r="GU23" i="1" s="1"/>
  <c r="GR26" i="1"/>
  <c r="GU26" i="1" s="1"/>
  <c r="GR20" i="1"/>
  <c r="GU20" i="1" s="1"/>
  <c r="GR25" i="1"/>
  <c r="GU25" i="1" s="1"/>
  <c r="GR24" i="1"/>
  <c r="GU24" i="1" s="1"/>
  <c r="GR18" i="1"/>
  <c r="GU18" i="1" s="1"/>
  <c r="GX18" i="1" l="1"/>
  <c r="GY18" i="1" s="1"/>
  <c r="GX25" i="1"/>
  <c r="GY25" i="1" s="1"/>
  <c r="GX20" i="1"/>
  <c r="GY20" i="1" s="1"/>
  <c r="GY26" i="1"/>
  <c r="GX26" i="1"/>
  <c r="GX17" i="1"/>
  <c r="GY17" i="1" s="1"/>
  <c r="GY22" i="1"/>
  <c r="GX22" i="1"/>
  <c r="GX19" i="1"/>
  <c r="GY19" i="1" s="1"/>
  <c r="GX21" i="1"/>
  <c r="GY21" i="1" s="1"/>
  <c r="GX23" i="1"/>
  <c r="GY23" i="1" s="1"/>
  <c r="GX24" i="1"/>
  <c r="GY24" i="1" s="1"/>
  <c r="HD7" i="1" l="1" a="1"/>
  <c r="HD7" i="1" s="1"/>
  <c r="D74" i="2" s="1"/>
  <c r="HC7" i="1" a="1"/>
  <c r="HC7" i="1" s="1"/>
  <c r="GY27" i="1"/>
  <c r="HA22" i="1"/>
  <c r="GZ22" i="1"/>
  <c r="HA26" i="1"/>
  <c r="GZ26" i="1"/>
  <c r="GZ24" i="1"/>
  <c r="HA24" i="1"/>
  <c r="GZ25" i="1"/>
  <c r="HA25" i="1"/>
  <c r="HA21" i="1"/>
  <c r="GZ21" i="1"/>
  <c r="GZ23" i="1"/>
  <c r="HA23" i="1"/>
  <c r="HA19" i="1"/>
  <c r="GZ19" i="1"/>
  <c r="HA17" i="1"/>
  <c r="GZ17" i="1"/>
  <c r="GZ20" i="1"/>
  <c r="HA20" i="1"/>
  <c r="HA18" i="1"/>
  <c r="GZ18" i="1"/>
  <c r="HD9" i="1" l="1" a="1"/>
  <c r="HD9" i="1" s="1"/>
  <c r="J74" i="2" s="1"/>
  <c r="HC9" i="1" a="1"/>
  <c r="HC9" i="1" s="1"/>
  <c r="HA27" i="1"/>
  <c r="HD8" i="1" a="1"/>
  <c r="HD8" i="1" s="1"/>
  <c r="G74" i="2" s="1"/>
  <c r="GZ27" i="1"/>
  <c r="HC8" i="1" s="1" a="1"/>
  <c r="HC8" i="1" s="1"/>
  <c r="HC17" i="1"/>
  <c r="HF17" i="1" s="1"/>
  <c r="HC19" i="1"/>
  <c r="HF19" i="1" s="1"/>
  <c r="HC21" i="1"/>
  <c r="HF21" i="1" s="1"/>
  <c r="HC23" i="1"/>
  <c r="HF23" i="1" s="1"/>
  <c r="HC25" i="1"/>
  <c r="HF25" i="1" s="1"/>
  <c r="HC22" i="1"/>
  <c r="HF22" i="1" s="1"/>
  <c r="HC18" i="1"/>
  <c r="HF18" i="1" s="1"/>
  <c r="HC20" i="1"/>
  <c r="HF20" i="1" s="1"/>
  <c r="HC24" i="1"/>
  <c r="HF24" i="1" s="1"/>
  <c r="HC26" i="1"/>
  <c r="HF26" i="1" s="1"/>
  <c r="C74" i="2"/>
  <c r="HD17" i="1" l="1"/>
  <c r="HG17" i="1" s="1"/>
  <c r="HD19" i="1"/>
  <c r="HG19" i="1" s="1"/>
  <c r="HD18" i="1"/>
  <c r="HG18" i="1" s="1"/>
  <c r="HD21" i="1"/>
  <c r="HG21" i="1" s="1"/>
  <c r="HD20" i="1"/>
  <c r="HG20" i="1" s="1"/>
  <c r="HD22" i="1"/>
  <c r="HG22" i="1" s="1"/>
  <c r="HD24" i="1"/>
  <c r="HG24" i="1" s="1"/>
  <c r="HD25" i="1"/>
  <c r="HG25" i="1" s="1"/>
  <c r="HD23" i="1"/>
  <c r="HG23" i="1" s="1"/>
  <c r="HD26" i="1"/>
  <c r="HG26" i="1" s="1"/>
  <c r="HI26" i="1" s="1"/>
  <c r="HJ26" i="1" s="1"/>
  <c r="F74" i="2"/>
  <c r="HE18" i="1"/>
  <c r="HH18" i="1" s="1"/>
  <c r="HE20" i="1"/>
  <c r="HH20" i="1" s="1"/>
  <c r="HE17" i="1"/>
  <c r="HH17" i="1" s="1"/>
  <c r="HE19" i="1"/>
  <c r="HH19" i="1" s="1"/>
  <c r="HE22" i="1"/>
  <c r="HH22" i="1" s="1"/>
  <c r="HE24" i="1"/>
  <c r="HH24" i="1" s="1"/>
  <c r="HI24" i="1" s="1"/>
  <c r="HJ24" i="1" s="1"/>
  <c r="HE26" i="1"/>
  <c r="HH26" i="1" s="1"/>
  <c r="HE21" i="1"/>
  <c r="HH21" i="1" s="1"/>
  <c r="HI21" i="1" s="1"/>
  <c r="HJ21" i="1" s="1"/>
  <c r="HE23" i="1"/>
  <c r="HH23" i="1" s="1"/>
  <c r="HE25" i="1"/>
  <c r="HH25" i="1" s="1"/>
  <c r="I74" i="2"/>
  <c r="HI18" i="1"/>
  <c r="HJ18" i="1"/>
  <c r="HL26" i="1" l="1"/>
  <c r="HK21" i="1"/>
  <c r="HL24" i="1"/>
  <c r="HK24" i="1"/>
  <c r="HK18" i="1"/>
  <c r="HL18" i="1"/>
  <c r="HI20" i="1"/>
  <c r="HJ20" i="1" s="1"/>
  <c r="HI25" i="1"/>
  <c r="HJ25" i="1" s="1"/>
  <c r="HI22" i="1"/>
  <c r="HJ22" i="1" s="1"/>
  <c r="HK26" i="1"/>
  <c r="HK22" i="1"/>
  <c r="HK19" i="1"/>
  <c r="HL21" i="1"/>
  <c r="HI23" i="1"/>
  <c r="HJ23" i="1" s="1"/>
  <c r="HI17" i="1"/>
  <c r="HJ17" i="1" s="1"/>
  <c r="HI19" i="1"/>
  <c r="HJ19" i="1" s="1"/>
  <c r="HK20" i="1"/>
  <c r="HL23" i="1" l="1"/>
  <c r="HK23" i="1"/>
  <c r="HL19" i="1"/>
  <c r="HL20" i="1"/>
  <c r="HK25" i="1"/>
  <c r="HL25" i="1"/>
  <c r="HL22" i="1"/>
  <c r="HL17" i="1"/>
  <c r="HK17" i="1"/>
  <c r="HO7" i="1" a="1"/>
  <c r="HO7" i="1" s="1"/>
  <c r="HN7" i="1" a="1"/>
  <c r="HN7" i="1" s="1"/>
  <c r="HJ27" i="1"/>
  <c r="H48" i="2" l="1"/>
  <c r="HN18" i="1"/>
  <c r="HQ18" i="1" s="1"/>
  <c r="HN20" i="1"/>
  <c r="HQ20" i="1" s="1"/>
  <c r="HN17" i="1"/>
  <c r="HQ17" i="1" s="1"/>
  <c r="HN19" i="1"/>
  <c r="HQ19" i="1" s="1"/>
  <c r="HN22" i="1"/>
  <c r="HQ22" i="1" s="1"/>
  <c r="HN24" i="1"/>
  <c r="HQ24" i="1" s="1"/>
  <c r="HN26" i="1"/>
  <c r="HQ26" i="1" s="1"/>
  <c r="HN21" i="1"/>
  <c r="HQ21" i="1" s="1"/>
  <c r="HN23" i="1"/>
  <c r="HQ23" i="1" s="1"/>
  <c r="HN25" i="1"/>
  <c r="HQ25" i="1" s="1"/>
  <c r="C75" i="2"/>
  <c r="HN9" i="1" a="1"/>
  <c r="HN9" i="1" s="1"/>
  <c r="HO9" i="1" a="1"/>
  <c r="HO9" i="1" s="1"/>
  <c r="HL27" i="1"/>
  <c r="I48" i="2"/>
  <c r="D75" i="2"/>
  <c r="HO8" i="1" a="1"/>
  <c r="HO8" i="1" s="1"/>
  <c r="HN8" i="1" a="1"/>
  <c r="HN8" i="1" s="1"/>
  <c r="HK27" i="1"/>
  <c r="I49" i="2" l="1"/>
  <c r="G75" i="2"/>
  <c r="H49" i="2"/>
  <c r="HO18" i="1"/>
  <c r="HR18" i="1" s="1"/>
  <c r="HO20" i="1"/>
  <c r="HR20" i="1" s="1"/>
  <c r="HT20" i="1" s="1"/>
  <c r="HU20" i="1" s="1"/>
  <c r="HO17" i="1"/>
  <c r="HR17" i="1" s="1"/>
  <c r="HO22" i="1"/>
  <c r="HR22" i="1" s="1"/>
  <c r="HO19" i="1"/>
  <c r="HR19" i="1" s="1"/>
  <c r="HO21" i="1"/>
  <c r="HR21" i="1" s="1"/>
  <c r="HO25" i="1"/>
  <c r="HR25" i="1" s="1"/>
  <c r="HT25" i="1" s="1"/>
  <c r="HU25" i="1" s="1"/>
  <c r="HO26" i="1"/>
  <c r="HR26" i="1" s="1"/>
  <c r="HT26" i="1" s="1"/>
  <c r="HU26" i="1" s="1"/>
  <c r="HO23" i="1"/>
  <c r="HR23" i="1" s="1"/>
  <c r="HO24" i="1"/>
  <c r="HR24" i="1" s="1"/>
  <c r="F75" i="2"/>
  <c r="HT24" i="1"/>
  <c r="HU24" i="1" s="1"/>
  <c r="I50" i="2"/>
  <c r="J75" i="2"/>
  <c r="H50" i="2"/>
  <c r="HP17" i="1"/>
  <c r="HS17" i="1" s="1"/>
  <c r="HP19" i="1"/>
  <c r="HS19" i="1" s="1"/>
  <c r="HP18" i="1"/>
  <c r="HS18" i="1" s="1"/>
  <c r="HP20" i="1"/>
  <c r="HS20" i="1" s="1"/>
  <c r="HP21" i="1"/>
  <c r="HS21" i="1" s="1"/>
  <c r="HP23" i="1"/>
  <c r="HS23" i="1" s="1"/>
  <c r="HP25" i="1"/>
  <c r="HS25" i="1" s="1"/>
  <c r="HP24" i="1"/>
  <c r="HS24" i="1" s="1"/>
  <c r="HP22" i="1"/>
  <c r="HS22" i="1" s="1"/>
  <c r="HT22" i="1" s="1"/>
  <c r="HU22" i="1" s="1"/>
  <c r="HP26" i="1"/>
  <c r="HS26" i="1" s="1"/>
  <c r="I75" i="2"/>
  <c r="HT19" i="1"/>
  <c r="HU19" i="1"/>
  <c r="HW20" i="1" l="1"/>
  <c r="HV24" i="1"/>
  <c r="HW25" i="1"/>
  <c r="HT18" i="1"/>
  <c r="HU18" i="1" s="1"/>
  <c r="HV19" i="1"/>
  <c r="HV18" i="1"/>
  <c r="HW22" i="1"/>
  <c r="HW24" i="1"/>
  <c r="HW26" i="1"/>
  <c r="HW19" i="1"/>
  <c r="HT23" i="1"/>
  <c r="HU23" i="1" s="1"/>
  <c r="HV26" i="1"/>
  <c r="HV22" i="1"/>
  <c r="HV25" i="1"/>
  <c r="HT21" i="1"/>
  <c r="HU21" i="1" s="1"/>
  <c r="HV20" i="1"/>
  <c r="HT17" i="1"/>
  <c r="HU17" i="1" s="1"/>
  <c r="HU27" i="1" s="1"/>
  <c r="HV21" i="1" l="1"/>
  <c r="HW21" i="1"/>
  <c r="HV23" i="1"/>
  <c r="HW23" i="1"/>
  <c r="HV17" i="1"/>
  <c r="HW18" i="1"/>
  <c r="HW17" i="1"/>
  <c r="HW27" i="1" s="1"/>
  <c r="HV27" i="1" l="1"/>
</calcChain>
</file>

<file path=xl/sharedStrings.xml><?xml version="1.0" encoding="utf-8"?>
<sst xmlns="http://schemas.openxmlformats.org/spreadsheetml/2006/main" count="549" uniqueCount="48">
  <si>
    <t>x</t>
  </si>
  <si>
    <t>y</t>
  </si>
  <si>
    <t>Green</t>
  </si>
  <si>
    <t>Blue</t>
  </si>
  <si>
    <t>d(red)</t>
  </si>
  <si>
    <t>d(green)</t>
  </si>
  <si>
    <t>d(blue)</t>
  </si>
  <si>
    <t>Distances from centers</t>
  </si>
  <si>
    <t>Posterior probabilities</t>
  </si>
  <si>
    <t>Data points</t>
  </si>
  <si>
    <t>p(point|red)</t>
  </si>
  <si>
    <t>p(point|green)</t>
  </si>
  <si>
    <t>p(point|blue)</t>
  </si>
  <si>
    <t>total</t>
  </si>
  <si>
    <t>p(red|point)</t>
  </si>
  <si>
    <t>Likelihoods</t>
  </si>
  <si>
    <t>(assumes priors p(red)=p(green)=p(blue))</t>
  </si>
  <si>
    <t>p(green|point)</t>
  </si>
  <si>
    <t>p(blue|point)</t>
  </si>
  <si>
    <t>TOTAL:</t>
  </si>
  <si>
    <t xml:space="preserve"> ITERATIONS</t>
  </si>
  <si>
    <t>EM or "soft" clustering.  Start by guessing 3 cluster centers.  For each data point, figure out the probability that it came from each of the cluster centers (the closest center is most likely).  Then recompute the centers based on the data points fractionally assigned to them.</t>
  </si>
  <si>
    <t>(assumes a Gaussian distribution - a normal bell curve)</t>
  </si>
  <si>
    <r>
      <t xml:space="preserve">In the next iteration, we recompute the cluster centers.  To recompute the (x,y) center of the red cluster, just take (average x-coordinate of red points, average y-coordinate of red points).  These are </t>
    </r>
    <r>
      <rPr>
        <b/>
        <sz val="10"/>
        <color indexed="48"/>
        <rFont val="Arial"/>
        <family val="2"/>
      </rPr>
      <t xml:space="preserve">weighted </t>
    </r>
    <r>
      <rPr>
        <sz val="10"/>
        <color indexed="48"/>
        <rFont val="Arial"/>
        <family val="2"/>
      </rPr>
      <t xml:space="preserve">averages; a point contributes to the average to the </t>
    </r>
    <r>
      <rPr>
        <b/>
        <sz val="10"/>
        <color indexed="48"/>
        <rFont val="Arial"/>
        <family val="2"/>
      </rPr>
      <t>degree</t>
    </r>
    <r>
      <rPr>
        <sz val="10"/>
        <color indexed="48"/>
        <rFont val="Arial"/>
        <family val="2"/>
      </rPr>
      <t xml:space="preserve"> that it is red.</t>
    </r>
  </si>
  <si>
    <t>Iteration</t>
  </si>
  <si>
    <t>Cluster Centers and Variances</t>
  </si>
  <si>
    <t>Variance</t>
  </si>
  <si>
    <t>Reestimate variance?</t>
  </si>
  <si>
    <t>Note: The Viterbi approximation to this algorithm (easier to implement and converges in a few iterations) is called "k-means" or "hard" clustering.  One can get the same effect by using a small variance.</t>
  </si>
  <si>
    <t>In these graphs, each cluster's center has been updated to be the centroid of  the data points (or fractions of data points) that were placed in that cluster in the previous iteration.</t>
  </si>
  <si>
    <t>In these graphs, the three solid circles represent the cluster centroids.  (Their areas are the cluster variances, so the diameter is about 1.1 standard deviations.)  The white circles of area 1 are the data points. Each data point carries hollow circles in red, green, and blue indicating how strongly it is associated with each of those clusters.  The area of the hollow red circle is proportional to p(point | red) or p(red | point).</t>
  </si>
  <si>
    <t xml:space="preserve"> ITERATION</t>
  </si>
  <si>
    <t>Warning: Setting this to TRUE is a nice idea but tends to trap us in local maxima</t>
  </si>
  <si>
    <t xml:space="preserve"> ITERATION:</t>
  </si>
  <si>
    <t>Red</t>
  </si>
  <si>
    <t>Evolution of clusters over time</t>
  </si>
  <si>
    <t>Current clusters</t>
  </si>
  <si>
    <t>Final clusters</t>
  </si>
  <si>
    <t>Initial clusters (centers and variances)</t>
  </si>
  <si>
    <t>If you need more than 20 iterations, use Edit / Copy and Edit / PasteSpecial / Values to copy the values from the "Final clusters" table (below) over the "Initial clusters" table (above).  Each repetition of the PasteSpecial command will get you another 6 iterations.</t>
  </si>
  <si>
    <t xml:space="preserve">In these graphs, the three solid circles represent the cluster centroids.  (Their areas are the cluster variances, so their radii represent about 0.564 standard deviations.)  </t>
  </si>
  <si>
    <t>The white circles of area 1 are the data points. Each data point carries hollow circles in red, green, and blue, whose areas are proportional to p(red | point), p(green | point), and p(blue | point).</t>
  </si>
  <si>
    <t>The underlying calculations for EM or "soft" clustering.  To change the data or the initial clusters, or view the results, click the Animation worksheet tab at the bottom of this worksheet.</t>
  </si>
  <si>
    <t>To see the underlying calculations, click the "Calculation" worksheet tab at the bottom of this worksheet.</t>
  </si>
  <si>
    <t>This is the first iteration.  The initial parameter table, below, is copied from the Animation worksheet.</t>
  </si>
  <si>
    <t>To watch the progress of the algorithm, use the scrollbar between the graphs.</t>
  </si>
  <si>
    <t>Switch to other window (Window menu) for other views.  Scrollbar may not work in all views.</t>
  </si>
  <si>
    <t>Posterior probabilities (curr. iteration)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</si>
</sst>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0"/>
  </numFmts>
  <fonts count="11" x14ac:knownFonts="1">
    <font>
      <sz val="10"/>
      <name val="Arial"/>
    </font>
    <font>
      <b/>
      <sz val="10"/>
      <color indexed="10"/>
      <name val="Arial"/>
      <family val="2"/>
    </font>
    <font>
      <sz val="10"/>
      <color indexed="48"/>
      <name val="Arial"/>
      <family val="2"/>
    </font>
    <font>
      <b/>
      <sz val="10"/>
      <name val="Arial"/>
      <family val="2"/>
    </font>
    <font>
      <b/>
      <sz val="12"/>
      <name val="Arial"/>
      <family val="2"/>
    </font>
    <font>
      <sz val="12"/>
      <name val="Arial"/>
      <family val="2"/>
    </font>
    <font>
      <sz val="10"/>
      <name val="Arial"/>
      <family val="2"/>
    </font>
    <font>
      <b/>
      <sz val="18"/>
      <color indexed="10"/>
      <name val="Arial"/>
      <family val="2"/>
    </font>
    <font>
      <sz val="10"/>
      <color indexed="12"/>
      <name val="Arial"/>
      <family val="2"/>
    </font>
    <font>
      <b/>
      <sz val="10"/>
      <color indexed="48"/>
      <name val="Arial"/>
      <family val="2"/>
    </font>
    <font>
      <sz val="10"/>
      <color indexed="10"/>
      <name val="Arial"/>
      <family val="2"/>
    </font>
  </fonts>
  <fills count="5">
    <fill>
      <patternFill patternType="none"/>
    </fill>
    <fill>
      <patternFill patternType="gray125"/>
    </fill>
    <fill>
      <patternFill patternType="solid">
        <fgColor indexed="41"/>
        <bgColor indexed="64"/>
      </patternFill>
    </fill>
    <fill>
      <patternFill patternType="solid">
        <fgColor indexed="51"/>
        <bgColor indexed="64"/>
      </patternFill>
    </fill>
    <fill>
      <patternFill patternType="solid">
        <fgColor indexed="29"/>
        <bgColor indexed="64"/>
      </patternFill>
    </fill>
  </fills>
  <borders count="7">
    <border>
      <left/>
      <right/>
      <top/>
      <bottom/>
      <diagonal/>
    </border>
    <border>
      <left/>
      <right/>
      <top style="thick">
        <color indexed="64"/>
      </top>
      <bottom/>
      <diagonal/>
    </border>
    <border>
      <left/>
      <right/>
      <top/>
      <bottom style="thick">
        <color indexed="64"/>
      </bottom>
      <diagonal/>
    </border>
    <border>
      <left style="medium">
        <color indexed="64"/>
      </left>
      <right/>
      <top/>
      <bottom/>
      <diagonal/>
    </border>
    <border>
      <left style="thick">
        <color indexed="64"/>
      </left>
      <right/>
      <top/>
      <bottom/>
      <diagonal/>
    </border>
    <border>
      <left/>
      <right style="thick">
        <color indexed="64"/>
      </right>
      <top/>
      <bottom/>
      <diagonal/>
    </border>
    <border>
      <left style="thick">
        <color indexed="64"/>
      </left>
      <right/>
      <top style="thick">
        <color indexed="64"/>
      </top>
      <bottom/>
      <diagonal/>
    </border>
  </borders>
  <cellStyleXfs count="1">
    <xf numFmtId="0" fontId="0" fillId="0" borderId="0"/>
  </cellStyleXfs>
  <cellXfs count="85">
    <xf numFmtId="0" fontId="0" fillId="0" borderId="0" xfId="0"/>
    <xf numFmtId="0" fontId="0" fillId="2" borderId="0" xfId="0" applyFill="1"/>
    <xf numFmtId="0" fontId="0" fillId="0" borderId="0" xfId="0" applyBorder="1"/>
    <xf numFmtId="0" fontId="0" fillId="2" borderId="1" xfId="0" applyFill="1" applyBorder="1" applyAlignment="1">
      <alignment horizontal="right"/>
    </xf>
    <xf numFmtId="0" fontId="0" fillId="2" borderId="0" xfId="0" applyFill="1" applyBorder="1" applyAlignment="1">
      <alignment horizontal="right"/>
    </xf>
    <xf numFmtId="0" fontId="1" fillId="0" borderId="0" xfId="0" applyNumberFormat="1" applyFont="1" applyBorder="1" applyAlignment="1">
      <alignment horizontal="left" indent="1"/>
    </xf>
    <xf numFmtId="0" fontId="0" fillId="2" borderId="2" xfId="0" applyFill="1" applyBorder="1" applyAlignment="1">
      <alignment horizontal="right"/>
    </xf>
    <xf numFmtId="0" fontId="1" fillId="0" borderId="0" xfId="0" applyFont="1" applyAlignment="1">
      <alignment horizontal="center"/>
    </xf>
    <xf numFmtId="0" fontId="0" fillId="2" borderId="0" xfId="0" applyFill="1" applyBorder="1" applyAlignment="1">
      <alignment horizontal="center"/>
    </xf>
    <xf numFmtId="0" fontId="0" fillId="2" borderId="0" xfId="0" applyFill="1" applyAlignment="1">
      <alignment horizontal="center"/>
    </xf>
    <xf numFmtId="0" fontId="0" fillId="0" borderId="0" xfId="0" applyNumberFormat="1" applyAlignment="1">
      <alignment horizontal="left"/>
    </xf>
    <xf numFmtId="164" fontId="0" fillId="0" borderId="0" xfId="0" applyNumberFormat="1" applyAlignment="1">
      <alignment horizontal="left"/>
    </xf>
    <xf numFmtId="0" fontId="4" fillId="0" borderId="0" xfId="0" applyFont="1"/>
    <xf numFmtId="0" fontId="5" fillId="0" borderId="0" xfId="0" applyFont="1"/>
    <xf numFmtId="0" fontId="4" fillId="0" borderId="3" xfId="0" applyFont="1" applyBorder="1"/>
    <xf numFmtId="0" fontId="0" fillId="2" borderId="3" xfId="0" applyFill="1" applyBorder="1"/>
    <xf numFmtId="0" fontId="0" fillId="0" borderId="3" xfId="0" applyNumberFormat="1" applyBorder="1" applyAlignment="1">
      <alignment horizontal="left"/>
    </xf>
    <xf numFmtId="0" fontId="4" fillId="0" borderId="4" xfId="0" applyFont="1" applyBorder="1"/>
    <xf numFmtId="0" fontId="0" fillId="2" borderId="4" xfId="0" applyFill="1" applyBorder="1"/>
    <xf numFmtId="0" fontId="0" fillId="0" borderId="4" xfId="0" applyNumberFormat="1" applyBorder="1" applyAlignment="1">
      <alignment horizontal="left"/>
    </xf>
    <xf numFmtId="164" fontId="0" fillId="0" borderId="4" xfId="0" applyNumberFormat="1" applyBorder="1" applyAlignment="1">
      <alignment horizontal="left"/>
    </xf>
    <xf numFmtId="0" fontId="3" fillId="0" borderId="0" xfId="0" applyFont="1" applyAlignment="1">
      <alignment horizontal="right"/>
    </xf>
    <xf numFmtId="164" fontId="3" fillId="0" borderId="0" xfId="0" applyNumberFormat="1" applyFont="1" applyAlignment="1">
      <alignment horizontal="left"/>
    </xf>
    <xf numFmtId="0" fontId="6" fillId="0" borderId="1" xfId="0" applyNumberFormat="1" applyFont="1" applyBorder="1" applyAlignment="1">
      <alignment horizontal="left" indent="1"/>
    </xf>
    <xf numFmtId="0" fontId="6" fillId="0" borderId="0" xfId="0" applyNumberFormat="1" applyFont="1" applyBorder="1" applyAlignment="1">
      <alignment horizontal="left" indent="1"/>
    </xf>
    <xf numFmtId="0" fontId="6" fillId="0" borderId="2" xfId="0" applyNumberFormat="1" applyFont="1" applyBorder="1" applyAlignment="1">
      <alignment horizontal="left" indent="1"/>
    </xf>
    <xf numFmtId="164" fontId="0" fillId="2" borderId="0" xfId="0" applyNumberFormat="1" applyFill="1" applyAlignment="1">
      <alignment horizontal="left"/>
    </xf>
    <xf numFmtId="0" fontId="0" fillId="0" borderId="0" xfId="0" applyAlignment="1"/>
    <xf numFmtId="0" fontId="2" fillId="0" borderId="0" xfId="0" applyFont="1" applyAlignment="1"/>
    <xf numFmtId="0" fontId="8" fillId="0" borderId="0" xfId="0" applyFont="1"/>
    <xf numFmtId="0" fontId="1" fillId="0" borderId="0" xfId="0" applyNumberFormat="1" applyFont="1" applyFill="1" applyBorder="1" applyAlignment="1">
      <alignment horizontal="left" indent="1"/>
    </xf>
    <xf numFmtId="0" fontId="4" fillId="3" borderId="4" xfId="0" applyFont="1" applyFill="1" applyBorder="1"/>
    <xf numFmtId="0" fontId="0" fillId="3" borderId="0" xfId="0" applyFill="1"/>
    <xf numFmtId="0" fontId="0" fillId="4" borderId="0" xfId="0" applyFill="1" applyBorder="1" applyAlignment="1">
      <alignment horizontal="center"/>
    </xf>
    <xf numFmtId="0" fontId="8" fillId="0" borderId="4" xfId="0" applyFont="1" applyBorder="1"/>
    <xf numFmtId="0" fontId="0" fillId="0" borderId="5" xfId="0" applyBorder="1"/>
    <xf numFmtId="0" fontId="0" fillId="0" borderId="0" xfId="0" applyAlignment="1">
      <alignment horizontal="left"/>
    </xf>
    <xf numFmtId="0" fontId="0" fillId="0" borderId="0" xfId="0" applyAlignment="1">
      <alignment horizontal="left" wrapText="1"/>
    </xf>
    <xf numFmtId="164" fontId="0" fillId="0" borderId="0" xfId="0" applyNumberFormat="1" applyBorder="1" applyAlignment="1">
      <alignment horizontal="left"/>
    </xf>
    <xf numFmtId="164" fontId="3" fillId="0" borderId="0" xfId="0" applyNumberFormat="1" applyFont="1" applyBorder="1" applyAlignment="1">
      <alignment horizontal="left"/>
    </xf>
    <xf numFmtId="0" fontId="1" fillId="0" borderId="0" xfId="0" applyFont="1" applyAlignment="1">
      <alignment horizontal="left"/>
    </xf>
    <xf numFmtId="0" fontId="1" fillId="0" borderId="1" xfId="0" applyFont="1" applyBorder="1"/>
    <xf numFmtId="0" fontId="0" fillId="0" borderId="2" xfId="0" applyBorder="1"/>
    <xf numFmtId="0" fontId="6" fillId="0" borderId="0" xfId="0" applyFont="1" applyBorder="1"/>
    <xf numFmtId="0" fontId="6" fillId="0" borderId="2" xfId="0" applyFont="1" applyBorder="1"/>
    <xf numFmtId="0" fontId="6" fillId="0" borderId="1" xfId="0" applyFont="1" applyBorder="1"/>
    <xf numFmtId="0" fontId="0" fillId="2" borderId="4" xfId="0" applyFill="1" applyBorder="1" applyAlignment="1">
      <alignment horizontal="center"/>
    </xf>
    <xf numFmtId="0" fontId="0" fillId="4" borderId="1" xfId="0" applyFill="1" applyBorder="1" applyAlignment="1">
      <alignment horizontal="right"/>
    </xf>
    <xf numFmtId="0" fontId="8" fillId="0" borderId="0" xfId="0" applyFont="1" applyAlignment="1">
      <alignment horizontal="left" wrapText="1"/>
    </xf>
    <xf numFmtId="0" fontId="0" fillId="4" borderId="0" xfId="0" applyFill="1" applyBorder="1" applyAlignment="1">
      <alignment horizontal="right"/>
    </xf>
    <xf numFmtId="0" fontId="4" fillId="4" borderId="0" xfId="0" applyFont="1" applyFill="1"/>
    <xf numFmtId="0" fontId="0" fillId="4" borderId="0" xfId="0" applyFill="1"/>
    <xf numFmtId="0" fontId="4" fillId="4" borderId="4" xfId="0" applyFont="1" applyFill="1" applyBorder="1"/>
    <xf numFmtId="0" fontId="4" fillId="3" borderId="0" xfId="0" applyFont="1" applyFill="1"/>
    <xf numFmtId="0" fontId="4" fillId="0" borderId="0" xfId="0" applyFont="1" applyFill="1"/>
    <xf numFmtId="0" fontId="0" fillId="0" borderId="0" xfId="0" applyFill="1"/>
    <xf numFmtId="0" fontId="8" fillId="0" borderId="0" xfId="0" applyFont="1" applyBorder="1"/>
    <xf numFmtId="165" fontId="6" fillId="0" borderId="1" xfId="0" applyNumberFormat="1" applyFont="1" applyBorder="1" applyAlignment="1">
      <alignment horizontal="left" indent="1"/>
    </xf>
    <xf numFmtId="165" fontId="6" fillId="0" borderId="0" xfId="0" applyNumberFormat="1" applyFont="1" applyBorder="1" applyAlignment="1">
      <alignment horizontal="left" indent="1"/>
    </xf>
    <xf numFmtId="165" fontId="6" fillId="0" borderId="2" xfId="0" applyNumberFormat="1" applyFont="1" applyBorder="1" applyAlignment="1">
      <alignment horizontal="left" indent="1"/>
    </xf>
    <xf numFmtId="0" fontId="1" fillId="0" borderId="1" xfId="0" applyNumberFormat="1" applyFont="1" applyBorder="1" applyAlignment="1">
      <alignment horizontal="left" indent="1"/>
    </xf>
    <xf numFmtId="0" fontId="1" fillId="0" borderId="2" xfId="0" applyNumberFormat="1" applyFont="1" applyBorder="1" applyAlignment="1">
      <alignment horizontal="left" indent="1"/>
    </xf>
    <xf numFmtId="165" fontId="6" fillId="0" borderId="6" xfId="0" applyNumberFormat="1" applyFont="1" applyBorder="1" applyAlignment="1">
      <alignment horizontal="left" indent="1"/>
    </xf>
    <xf numFmtId="165" fontId="6" fillId="0" borderId="4" xfId="0" applyNumberFormat="1" applyFont="1" applyBorder="1" applyAlignment="1">
      <alignment horizontal="left" indent="1"/>
    </xf>
    <xf numFmtId="0" fontId="2" fillId="0" borderId="0" xfId="0" applyFont="1" applyAlignment="1">
      <alignment vertical="top" wrapText="1"/>
    </xf>
    <xf numFmtId="0" fontId="0" fillId="0" borderId="0" xfId="0"/>
    <xf numFmtId="0" fontId="2" fillId="0" borderId="0" xfId="0" applyFont="1" applyAlignment="1">
      <alignment horizontal="left" vertical="top" wrapText="1"/>
    </xf>
    <xf numFmtId="0" fontId="0" fillId="0" borderId="0" xfId="0" applyAlignment="1">
      <alignment horizontal="left" wrapText="1"/>
    </xf>
    <xf numFmtId="0" fontId="7" fillId="0" borderId="0" xfId="0" applyFont="1" applyBorder="1" applyAlignment="1">
      <alignment horizontal="right"/>
    </xf>
    <xf numFmtId="0" fontId="10" fillId="0" borderId="0" xfId="0" applyFont="1" applyBorder="1" applyAlignment="1">
      <alignment horizontal="right"/>
    </xf>
    <xf numFmtId="0" fontId="7" fillId="0" borderId="0" xfId="0" applyFont="1" applyBorder="1" applyAlignment="1">
      <alignment horizontal="center"/>
    </xf>
    <xf numFmtId="0" fontId="10" fillId="0" borderId="0" xfId="0" applyFont="1" applyAlignment="1">
      <alignment horizontal="center"/>
    </xf>
    <xf numFmtId="0" fontId="8" fillId="0" borderId="0" xfId="0" applyFont="1" applyAlignment="1">
      <alignment wrapText="1"/>
    </xf>
    <xf numFmtId="0" fontId="8" fillId="0" borderId="0" xfId="0" applyFont="1" applyAlignment="1"/>
    <xf numFmtId="0" fontId="8" fillId="0" borderId="0" xfId="0" applyFont="1" applyAlignment="1">
      <alignment horizontal="left" wrapText="1"/>
    </xf>
    <xf numFmtId="0" fontId="8" fillId="0" borderId="0" xfId="0" applyFont="1" applyBorder="1" applyAlignment="1">
      <alignment vertical="top" wrapText="1"/>
    </xf>
    <xf numFmtId="0" fontId="0" fillId="0" borderId="0" xfId="0" applyAlignment="1">
      <alignment wrapText="1"/>
    </xf>
    <xf numFmtId="0" fontId="0" fillId="2" borderId="0" xfId="0" applyFill="1" applyBorder="1" applyAlignment="1">
      <alignment horizontal="left"/>
    </xf>
    <xf numFmtId="0" fontId="0" fillId="0" borderId="0" xfId="0" applyAlignment="1"/>
    <xf numFmtId="0" fontId="7" fillId="0" borderId="0" xfId="0" applyFont="1" applyBorder="1" applyAlignment="1">
      <alignment horizontal="left"/>
    </xf>
    <xf numFmtId="0" fontId="0" fillId="0" borderId="0" xfId="0" applyBorder="1" applyAlignment="1">
      <alignment horizontal="left"/>
    </xf>
    <xf numFmtId="0" fontId="7" fillId="0" borderId="0" xfId="0" applyFont="1" applyAlignment="1">
      <alignment horizontal="right"/>
    </xf>
    <xf numFmtId="0" fontId="0" fillId="0" borderId="0" xfId="0" applyAlignment="1">
      <alignment horizontal="left"/>
    </xf>
    <xf numFmtId="0" fontId="0" fillId="0" borderId="0" xfId="0" applyAlignment="1">
      <alignment vertical="top" wrapText="1"/>
    </xf>
    <xf numFmtId="0" fontId="0" fillId="0" borderId="0"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50" b="1" i="0" u="none" strike="noStrike" baseline="0">
                <a:solidFill>
                  <a:srgbClr val="000000"/>
                </a:solidFill>
                <a:latin typeface="Arial"/>
                <a:ea typeface="Arial"/>
                <a:cs typeface="Arial"/>
              </a:defRPr>
            </a:pPr>
            <a:r>
              <a:rPr lang="en-US"/>
              <a:t>p(cluster | point)</a:t>
            </a:r>
          </a:p>
        </c:rich>
      </c:tx>
      <c:layout>
        <c:manualLayout>
          <c:xMode val="edge"/>
          <c:yMode val="edge"/>
          <c:x val="0.28857786025630422"/>
          <c:y val="3.4764869568082744E-2"/>
        </c:manualLayout>
      </c:layout>
      <c:overlay val="0"/>
      <c:spPr>
        <a:noFill/>
        <a:ln w="25400">
          <a:noFill/>
        </a:ln>
      </c:spPr>
    </c:title>
    <c:autoTitleDeleted val="0"/>
    <c:plotArea>
      <c:layout>
        <c:manualLayout>
          <c:layoutTarget val="inner"/>
          <c:xMode val="edge"/>
          <c:yMode val="edge"/>
          <c:x val="3.6072232532038034E-2"/>
          <c:y val="0.16768937085781091"/>
          <c:w val="0.92986199415920257"/>
          <c:h val="0.79754700773836884"/>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EA39-43BD-9520-7EBA11616B79}"/>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Animation!$Q$19:$Q$28</c:f>
              <c:numCache>
                <c:formatCode>[=0]0;0.0##</c:formatCode>
                <c:ptCount val="10"/>
                <c:pt idx="0">
                  <c:v>0.92202970942174223</c:v>
                </c:pt>
                <c:pt idx="1">
                  <c:v>0.62245932530091364</c:v>
                </c:pt>
                <c:pt idx="2">
                  <c:v>0.49986176713468167</c:v>
                </c:pt>
                <c:pt idx="3">
                  <c:v>0.18242531933290182</c:v>
                </c:pt>
                <c:pt idx="4">
                  <c:v>0.18242141693509159</c:v>
                </c:pt>
                <c:pt idx="5">
                  <c:v>0.87226219157932872</c:v>
                </c:pt>
                <c:pt idx="6">
                  <c:v>0.98659440316624181</c:v>
                </c:pt>
                <c:pt idx="7">
                  <c:v>0.62245933090806405</c:v>
                </c:pt>
                <c:pt idx="8">
                  <c:v>0.78559703458927599</c:v>
                </c:pt>
                <c:pt idx="9">
                  <c:v>0.18242552380510027</c:v>
                </c:pt>
              </c:numCache>
            </c:numRef>
          </c:bubbleSize>
          <c:bubble3D val="0"/>
          <c:extLst>
            <c:ext xmlns:c16="http://schemas.microsoft.com/office/drawing/2014/chart" uri="{C3380CC4-5D6E-409C-BE32-E72D297353CC}">
              <c16:uniqueId val="{00000001-EA39-43BD-9520-7EBA11616B79}"/>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Animation!$R$19:$R$28</c:f>
              <c:numCache>
                <c:formatCode>[=0]0;0.0##</c:formatCode>
                <c:ptCount val="10"/>
                <c:pt idx="0">
                  <c:v>2.2854831491801947E-3</c:v>
                </c:pt>
                <c:pt idx="1">
                  <c:v>9.4800429162403711E-9</c:v>
                </c:pt>
                <c:pt idx="2">
                  <c:v>2.7646573063666899E-4</c:v>
                </c:pt>
                <c:pt idx="3">
                  <c:v>1.1208599006050614E-6</c:v>
                </c:pt>
                <c:pt idx="4">
                  <c:v>2.2512591325174201E-5</c:v>
                </c:pt>
                <c:pt idx="5">
                  <c:v>9.6899576666944019E-3</c:v>
                </c:pt>
                <c:pt idx="6">
                  <c:v>2.4455230243351773E-3</c:v>
                </c:pt>
                <c:pt idx="7">
                  <c:v>4.7198354905279915E-10</c:v>
                </c:pt>
                <c:pt idx="8">
                  <c:v>3.9112573270687429E-2</c:v>
                </c:pt>
                <c:pt idx="9">
                  <c:v>6.8868089667484473E-12</c:v>
                </c:pt>
              </c:numCache>
            </c:numRef>
          </c:bubbleSize>
          <c:bubble3D val="0"/>
          <c:extLst>
            <c:ext xmlns:c16="http://schemas.microsoft.com/office/drawing/2014/chart" uri="{C3380CC4-5D6E-409C-BE32-E72D297353CC}">
              <c16:uniqueId val="{00000002-EA39-43BD-9520-7EBA11616B79}"/>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Animation!$P$19:$P$28</c:f>
              <c:numCache>
                <c:formatCode>[=0]0;0.0##</c:formatCode>
                <c:ptCount val="10"/>
                <c:pt idx="0">
                  <c:v>7.5684807429077489E-2</c:v>
                </c:pt>
                <c:pt idx="1">
                  <c:v>0.3775406652190435</c:v>
                </c:pt>
                <c:pt idx="2">
                  <c:v>0.49986176713468167</c:v>
                </c:pt>
                <c:pt idx="3">
                  <c:v>0.81757355980719759</c:v>
                </c:pt>
                <c:pt idx="4">
                  <c:v>0.81755607047358336</c:v>
                </c:pt>
                <c:pt idx="5">
                  <c:v>0.11804785075397697</c:v>
                </c:pt>
                <c:pt idx="6">
                  <c:v>1.0960073809423017E-2</c:v>
                </c:pt>
                <c:pt idx="7">
                  <c:v>0.37754066861995245</c:v>
                </c:pt>
                <c:pt idx="8">
                  <c:v>0.17529039214003667</c:v>
                </c:pt>
                <c:pt idx="9">
                  <c:v>0.81757447618801293</c:v>
                </c:pt>
              </c:numCache>
            </c:numRef>
          </c:bubbleSize>
          <c:bubble3D val="0"/>
          <c:extLst>
            <c:ext xmlns:c16="http://schemas.microsoft.com/office/drawing/2014/chart" uri="{C3380CC4-5D6E-409C-BE32-E72D297353CC}">
              <c16:uniqueId val="{00000003-EA39-43BD-9520-7EBA11616B79}"/>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5-EA39-43BD-9520-7EBA11616B79}"/>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EA39-43BD-9520-7EBA11616B79}"/>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9-EA39-43BD-9520-7EBA11616B79}"/>
              </c:ext>
            </c:extLst>
          </c:dPt>
          <c:xVal>
            <c:numRef>
              <c:f>Animation!$C$48:$C$50</c:f>
              <c:numCache>
                <c:formatCode>0.000</c:formatCode>
                <c:ptCount val="3"/>
                <c:pt idx="0">
                  <c:v>2</c:v>
                </c:pt>
                <c:pt idx="1">
                  <c:v>2</c:v>
                </c:pt>
                <c:pt idx="2">
                  <c:v>-1</c:v>
                </c:pt>
              </c:numCache>
            </c:numRef>
          </c:xVal>
          <c:yVal>
            <c:numRef>
              <c:f>Animation!$D$48:$D$50</c:f>
              <c:numCache>
                <c:formatCode>0.000</c:formatCode>
                <c:ptCount val="3"/>
                <c:pt idx="0">
                  <c:v>1</c:v>
                </c:pt>
                <c:pt idx="1">
                  <c:v>2</c:v>
                </c:pt>
                <c:pt idx="2">
                  <c:v>5</c:v>
                </c:pt>
              </c:numCache>
            </c:numRef>
          </c:yVal>
          <c:bubbleSize>
            <c:numRef>
              <c:f>Animation!$E$48:$E$50</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EA39-43BD-9520-7EBA11616B79}"/>
            </c:ext>
          </c:extLst>
        </c:ser>
        <c:dLbls>
          <c:showLegendKey val="0"/>
          <c:showVal val="0"/>
          <c:showCatName val="0"/>
          <c:showSerName val="0"/>
          <c:showPercent val="0"/>
          <c:showBubbleSize val="0"/>
        </c:dLbls>
        <c:bubbleScale val="60"/>
        <c:showNegBubbles val="0"/>
        <c:axId val="325266008"/>
        <c:axId val="1"/>
      </c:bubbleChart>
      <c:valAx>
        <c:axId val="325266008"/>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325266008"/>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CC00"/>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50" b="1" i="0" u="none" strike="noStrike" baseline="0">
                <a:solidFill>
                  <a:srgbClr val="000000"/>
                </a:solidFill>
                <a:latin typeface="Arial"/>
                <a:ea typeface="Arial"/>
                <a:cs typeface="Arial"/>
              </a:defRPr>
            </a:pPr>
            <a:r>
              <a:rPr lang="en-US"/>
              <a:t>Cluster evolution over time</a:t>
            </a:r>
          </a:p>
        </c:rich>
      </c:tx>
      <c:layout>
        <c:manualLayout>
          <c:xMode val="edge"/>
          <c:yMode val="edge"/>
          <c:x val="0.135021270908109"/>
          <c:y val="3.2854217680748705E-2"/>
        </c:manualLayout>
      </c:layout>
      <c:overlay val="0"/>
      <c:spPr>
        <a:noFill/>
        <a:ln w="25400">
          <a:noFill/>
        </a:ln>
      </c:spPr>
    </c:title>
    <c:autoTitleDeleted val="0"/>
    <c:plotArea>
      <c:layout>
        <c:manualLayout>
          <c:layoutTarget val="inner"/>
          <c:xMode val="edge"/>
          <c:yMode val="edge"/>
          <c:x val="3.7974732442905661E-2"/>
          <c:y val="0.16837786561383714"/>
          <c:w val="0.92616153013531022"/>
          <c:h val="0.79671477875815622"/>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C78F-4C53-B55F-DC81B489D7F4}"/>
            </c:ext>
          </c:extLst>
        </c:ser>
        <c:ser>
          <c:idx val="0"/>
          <c:order val="1"/>
          <c:spPr>
            <a:solidFill>
              <a:srgbClr val="FF0000"/>
            </a:solidFill>
            <a:ln w="12700">
              <a:solidFill>
                <a:srgbClr val="000000"/>
              </a:solidFill>
              <a:prstDash val="solid"/>
            </a:ln>
          </c:spPr>
          <c:invertIfNegative val="1"/>
          <c:xVal>
            <c:numRef>
              <c:f>Animation!$C$55:$C$75</c:f>
              <c:numCache>
                <c:formatCode>0.000</c:formatCode>
                <c:ptCount val="21"/>
                <c:pt idx="0">
                  <c:v>2</c:v>
                </c:pt>
                <c:pt idx="1">
                  <c:v>2.5079312704701593</c:v>
                </c:pt>
                <c:pt idx="2">
                  <c:v>2.1042166392897266</c:v>
                </c:pt>
                <c:pt idx="3">
                  <c:v>1.7865794706928853</c:v>
                </c:pt>
                <c:pt idx="4">
                  <c:v>1.4576443409461235</c:v>
                </c:pt>
                <c:pt idx="5">
                  <c:v>0.88172670429440347</c:v>
                </c:pt>
                <c:pt idx="6">
                  <c:v>0.65840974427681476</c:v>
                </c:pt>
                <c:pt idx="7">
                  <c:v>0.65858331106328383</c:v>
                </c:pt>
                <c:pt idx="8">
                  <c:v>0.66523945841562981</c:v>
                </c:pt>
                <c:pt idx="9">
                  <c:v>0.6726413094862197</c:v>
                </c:pt>
                <c:pt idx="10">
                  <c:v>0.68471325030611163</c:v>
                </c:pt>
                <c:pt idx="11">
                  <c:v>0.70474668411789032</c:v>
                </c:pt>
                <c:pt idx="12">
                  <c:v>0.72228566060216481</c:v>
                </c:pt>
                <c:pt idx="13">
                  <c:v>0.73617350963964723</c:v>
                </c:pt>
                <c:pt idx="14">
                  <c:v>0.74693888745928461</c:v>
                </c:pt>
                <c:pt idx="15">
                  <c:v>0.75493480601638285</c:v>
                </c:pt>
                <c:pt idx="16">
                  <c:v>0.76053348459127135</c:v>
                </c:pt>
                <c:pt idx="17">
                  <c:v>0.76422732728432508</c:v>
                </c:pt>
                <c:pt idx="18">
                  <c:v>0.76655107136910161</c:v>
                </c:pt>
                <c:pt idx="19">
                  <c:v>0.76796568137841226</c:v>
                </c:pt>
                <c:pt idx="20">
                  <c:v>0.76880911919303829</c:v>
                </c:pt>
              </c:numCache>
            </c:numRef>
          </c:xVal>
          <c:yVal>
            <c:numRef>
              <c:f>Animation!$D$55:$D$75</c:f>
              <c:numCache>
                <c:formatCode>0.000</c:formatCode>
                <c:ptCount val="21"/>
                <c:pt idx="0">
                  <c:v>1</c:v>
                </c:pt>
                <c:pt idx="1">
                  <c:v>0.87275349178586747</c:v>
                </c:pt>
                <c:pt idx="2">
                  <c:v>0.42531983358738612</c:v>
                </c:pt>
                <c:pt idx="3">
                  <c:v>0.2605802367485161</c:v>
                </c:pt>
                <c:pt idx="4">
                  <c:v>0.28528983222399373</c:v>
                </c:pt>
                <c:pt idx="5">
                  <c:v>0.38736790265458626</c:v>
                </c:pt>
                <c:pt idx="6">
                  <c:v>0.46489323811499572</c:v>
                </c:pt>
                <c:pt idx="7">
                  <c:v>0.49770565127761929</c:v>
                </c:pt>
                <c:pt idx="8">
                  <c:v>0.52608788211514146</c:v>
                </c:pt>
                <c:pt idx="9">
                  <c:v>0.56122757786292909</c:v>
                </c:pt>
                <c:pt idx="10">
                  <c:v>0.63063561292930503</c:v>
                </c:pt>
                <c:pt idx="11">
                  <c:v>0.76345325820103704</c:v>
                </c:pt>
                <c:pt idx="12">
                  <c:v>0.87649472715766197</c:v>
                </c:pt>
                <c:pt idx="13">
                  <c:v>0.95882749505433795</c:v>
                </c:pt>
                <c:pt idx="14">
                  <c:v>1.0161374348857886</c:v>
                </c:pt>
                <c:pt idx="15">
                  <c:v>1.0538819455843051</c:v>
                </c:pt>
                <c:pt idx="16">
                  <c:v>1.0776150381075791</c:v>
                </c:pt>
                <c:pt idx="17">
                  <c:v>1.0920644271220588</c:v>
                </c:pt>
                <c:pt idx="18">
                  <c:v>1.1006817728190124</c:v>
                </c:pt>
                <c:pt idx="19">
                  <c:v>1.1057564020816297</c:v>
                </c:pt>
                <c:pt idx="20">
                  <c:v>1.1087223363005023</c:v>
                </c:pt>
              </c:numCache>
            </c:numRef>
          </c:yVal>
          <c:bubbleSize>
            <c:numRef>
              <c:f>Animation!$E$55:$E$75</c:f>
              <c:numCache>
                <c:formatCode>0.000</c:formatCode>
                <c:ptCount val="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1-C78F-4C53-B55F-DC81B489D7F4}"/>
            </c:ext>
          </c:extLst>
        </c:ser>
        <c:ser>
          <c:idx val="1"/>
          <c:order val="2"/>
          <c:spPr>
            <a:solidFill>
              <a:srgbClr val="008000"/>
            </a:solidFill>
            <a:ln w="12700">
              <a:solidFill>
                <a:srgbClr val="000000"/>
              </a:solidFill>
              <a:prstDash val="solid"/>
            </a:ln>
          </c:spPr>
          <c:invertIfNegative val="1"/>
          <c:xVal>
            <c:numRef>
              <c:f>Animation!$F$55:$F$75</c:f>
              <c:numCache>
                <c:formatCode>0.000</c:formatCode>
                <c:ptCount val="21"/>
                <c:pt idx="0">
                  <c:v>2</c:v>
                </c:pt>
                <c:pt idx="1">
                  <c:v>3.1869138994154644</c:v>
                </c:pt>
                <c:pt idx="2">
                  <c:v>4.4413368173452668</c:v>
                </c:pt>
                <c:pt idx="3">
                  <c:v>4.8783301994994508</c:v>
                </c:pt>
                <c:pt idx="4">
                  <c:v>5.0365029096836462</c:v>
                </c:pt>
                <c:pt idx="5">
                  <c:v>5.1311161872385176</c:v>
                </c:pt>
                <c:pt idx="6">
                  <c:v>5.1912462290061487</c:v>
                </c:pt>
                <c:pt idx="7">
                  <c:v>5.21970994387378</c:v>
                </c:pt>
                <c:pt idx="8">
                  <c:v>5.2388531969560175</c:v>
                </c:pt>
                <c:pt idx="9">
                  <c:v>5.2692114720266519</c:v>
                </c:pt>
                <c:pt idx="10">
                  <c:v>5.3161126727729284</c:v>
                </c:pt>
                <c:pt idx="11">
                  <c:v>5.3307079596620861</c:v>
                </c:pt>
                <c:pt idx="12">
                  <c:v>5.3316709354555512</c:v>
                </c:pt>
                <c:pt idx="13">
                  <c:v>5.3316475641960466</c:v>
                </c:pt>
                <c:pt idx="14">
                  <c:v>5.3315517150566638</c:v>
                </c:pt>
                <c:pt idx="15">
                  <c:v>5.3314399741421514</c:v>
                </c:pt>
                <c:pt idx="16">
                  <c:v>5.3313414133138837</c:v>
                </c:pt>
                <c:pt idx="17">
                  <c:v>5.331268429323873</c:v>
                </c:pt>
                <c:pt idx="18">
                  <c:v>5.3312198602530714</c:v>
                </c:pt>
                <c:pt idx="19">
                  <c:v>5.331189465303189</c:v>
                </c:pt>
                <c:pt idx="20">
                  <c:v>5.3311710873039564</c:v>
                </c:pt>
              </c:numCache>
            </c:numRef>
          </c:xVal>
          <c:yVal>
            <c:numRef>
              <c:f>Animation!$G$55:$G$75</c:f>
              <c:numCache>
                <c:formatCode>0.000</c:formatCode>
                <c:ptCount val="21"/>
                <c:pt idx="0">
                  <c:v>2</c:v>
                </c:pt>
                <c:pt idx="1">
                  <c:v>3.1163116391195405</c:v>
                </c:pt>
                <c:pt idx="2">
                  <c:v>3.4877476489990173</c:v>
                </c:pt>
                <c:pt idx="3">
                  <c:v>3.3448039338256206</c:v>
                </c:pt>
                <c:pt idx="4">
                  <c:v>3.0572970764384162</c:v>
                </c:pt>
                <c:pt idx="5">
                  <c:v>2.6815493179418546</c:v>
                </c:pt>
                <c:pt idx="6">
                  <c:v>2.5146605712420174</c:v>
                </c:pt>
                <c:pt idx="7">
                  <c:v>2.4246587621192184</c:v>
                </c:pt>
                <c:pt idx="8">
                  <c:v>2.2879644883876971</c:v>
                </c:pt>
                <c:pt idx="9">
                  <c:v>1.9670021275354224</c:v>
                </c:pt>
                <c:pt idx="10">
                  <c:v>1.4427141533371761</c:v>
                </c:pt>
                <c:pt idx="11">
                  <c:v>1.3370128478915091</c:v>
                </c:pt>
                <c:pt idx="12">
                  <c:v>1.3338615841954793</c:v>
                </c:pt>
                <c:pt idx="13">
                  <c:v>1.3333679224910344</c:v>
                </c:pt>
                <c:pt idx="14">
                  <c:v>1.3331143698773171</c:v>
                </c:pt>
                <c:pt idx="15">
                  <c:v>1.3329910199426385</c:v>
                </c:pt>
                <c:pt idx="16">
                  <c:v>1.3329411420328523</c:v>
                </c:pt>
                <c:pt idx="17">
                  <c:v>1.3329250358162319</c:v>
                </c:pt>
                <c:pt idx="18">
                  <c:v>1.3329215837014505</c:v>
                </c:pt>
                <c:pt idx="19">
                  <c:v>1.3329219241644599</c:v>
                </c:pt>
                <c:pt idx="20">
                  <c:v>1.3329229818827504</c:v>
                </c:pt>
              </c:numCache>
            </c:numRef>
          </c:yVal>
          <c:bubbleSize>
            <c:numRef>
              <c:f>Animation!$H$55:$H$75</c:f>
              <c:numCache>
                <c:formatCode>0.000</c:formatCode>
                <c:ptCount val="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2-C78F-4C53-B55F-DC81B489D7F4}"/>
            </c:ext>
          </c:extLst>
        </c:ser>
        <c:ser>
          <c:idx val="2"/>
          <c:order val="3"/>
          <c:spPr>
            <a:solidFill>
              <a:srgbClr val="0000FF"/>
            </a:solidFill>
            <a:ln w="12700">
              <a:solidFill>
                <a:srgbClr val="000000"/>
              </a:solidFill>
              <a:prstDash val="solid"/>
            </a:ln>
          </c:spPr>
          <c:invertIfNegative val="1"/>
          <c:xVal>
            <c:numRef>
              <c:f>Animation!$I$55:$I$75</c:f>
              <c:numCache>
                <c:formatCode>0.000</c:formatCode>
                <c:ptCount val="21"/>
                <c:pt idx="0">
                  <c:v>-1</c:v>
                </c:pt>
                <c:pt idx="1">
                  <c:v>1.446199457982293</c:v>
                </c:pt>
                <c:pt idx="2">
                  <c:v>1.5181560023234819</c:v>
                </c:pt>
                <c:pt idx="3">
                  <c:v>1.5764905996702903</c:v>
                </c:pt>
                <c:pt idx="4">
                  <c:v>1.7152366082504102</c:v>
                </c:pt>
                <c:pt idx="5">
                  <c:v>1.8360579104018708</c:v>
                </c:pt>
                <c:pt idx="6">
                  <c:v>1.9455791289216191</c:v>
                </c:pt>
                <c:pt idx="7">
                  <c:v>2.0582866804295707</c:v>
                </c:pt>
                <c:pt idx="8">
                  <c:v>2.207238325753254</c:v>
                </c:pt>
                <c:pt idx="9">
                  <c:v>2.4698349586684976</c:v>
                </c:pt>
                <c:pt idx="10">
                  <c:v>2.7795718855257436</c:v>
                </c:pt>
                <c:pt idx="11">
                  <c:v>2.9175730881730182</c:v>
                </c:pt>
                <c:pt idx="12">
                  <c:v>3.015615425308245</c:v>
                </c:pt>
                <c:pt idx="13">
                  <c:v>3.0975839567524934</c:v>
                </c:pt>
                <c:pt idx="14">
                  <c:v>3.1608411690057738</c:v>
                </c:pt>
                <c:pt idx="15">
                  <c:v>3.204947770315572</c:v>
                </c:pt>
                <c:pt idx="16">
                  <c:v>3.2333441892354808</c:v>
                </c:pt>
                <c:pt idx="17">
                  <c:v>3.2507394887587284</c:v>
                </c:pt>
                <c:pt idx="18">
                  <c:v>3.2611097523671471</c:v>
                </c:pt>
                <c:pt idx="19">
                  <c:v>3.2672052100775519</c:v>
                </c:pt>
                <c:pt idx="20">
                  <c:v>3.2707617309702215</c:v>
                </c:pt>
              </c:numCache>
            </c:numRef>
          </c:xVal>
          <c:yVal>
            <c:numRef>
              <c:f>Animation!$J$55:$J$75</c:f>
              <c:numCache>
                <c:formatCode>0.000</c:formatCode>
                <c:ptCount val="21"/>
                <c:pt idx="0">
                  <c:v>5</c:v>
                </c:pt>
                <c:pt idx="1">
                  <c:v>3.2597153101584531</c:v>
                </c:pt>
                <c:pt idx="2">
                  <c:v>2.9002434908244417</c:v>
                </c:pt>
                <c:pt idx="3">
                  <c:v>2.9416078850682768</c:v>
                </c:pt>
                <c:pt idx="4">
                  <c:v>3.0868566330059797</c:v>
                </c:pt>
                <c:pt idx="5">
                  <c:v>3.2340967522600521</c:v>
                </c:pt>
                <c:pt idx="6">
                  <c:v>3.363582551123506</c:v>
                </c:pt>
                <c:pt idx="7">
                  <c:v>3.4763423017166062</c:v>
                </c:pt>
                <c:pt idx="8">
                  <c:v>3.6157848083709663</c:v>
                </c:pt>
                <c:pt idx="9">
                  <c:v>3.8492181977754587</c:v>
                </c:pt>
                <c:pt idx="10">
                  <c:v>4.1161008861407709</c:v>
                </c:pt>
                <c:pt idx="11">
                  <c:v>4.2171451983796189</c:v>
                </c:pt>
                <c:pt idx="12">
                  <c:v>4.2798493026708053</c:v>
                </c:pt>
                <c:pt idx="13">
                  <c:v>4.3322116816244458</c:v>
                </c:pt>
                <c:pt idx="14">
                  <c:v>4.3726668572553749</c:v>
                </c:pt>
                <c:pt idx="15">
                  <c:v>4.4009933217900885</c:v>
                </c:pt>
                <c:pt idx="16">
                  <c:v>4.4193405442882545</c:v>
                </c:pt>
                <c:pt idx="17">
                  <c:v>4.430647650306458</c:v>
                </c:pt>
                <c:pt idx="18">
                  <c:v>4.4374211090399331</c:v>
                </c:pt>
                <c:pt idx="19">
                  <c:v>4.4414159832567321</c:v>
                </c:pt>
                <c:pt idx="20">
                  <c:v>4.4437520092340739</c:v>
                </c:pt>
              </c:numCache>
            </c:numRef>
          </c:yVal>
          <c:bubbleSize>
            <c:numRef>
              <c:f>Animation!$K$55:$K$75</c:f>
              <c:numCache>
                <c:formatCode>0.000</c:formatCode>
                <c:ptCount val="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3-C78F-4C53-B55F-DC81B489D7F4}"/>
            </c:ext>
          </c:extLst>
        </c:ser>
        <c:ser>
          <c:idx val="3"/>
          <c:order val="4"/>
          <c:spPr>
            <a:noFill/>
            <a:ln w="38100">
              <a:solidFill>
                <a:srgbClr val="000000"/>
              </a:solidFill>
              <a:prstDash val="solid"/>
            </a:ln>
          </c:spPr>
          <c:invertIfNegative val="1"/>
          <c:xVal>
            <c:numRef>
              <c:f>Animation!$C$48:$C$50</c:f>
              <c:numCache>
                <c:formatCode>0.000</c:formatCode>
                <c:ptCount val="3"/>
                <c:pt idx="0">
                  <c:v>2</c:v>
                </c:pt>
                <c:pt idx="1">
                  <c:v>2</c:v>
                </c:pt>
                <c:pt idx="2">
                  <c:v>-1</c:v>
                </c:pt>
              </c:numCache>
            </c:numRef>
          </c:xVal>
          <c:yVal>
            <c:numRef>
              <c:f>Animation!$D$48:$D$50</c:f>
              <c:numCache>
                <c:formatCode>0.000</c:formatCode>
                <c:ptCount val="3"/>
                <c:pt idx="0">
                  <c:v>1</c:v>
                </c:pt>
                <c:pt idx="1">
                  <c:v>2</c:v>
                </c:pt>
                <c:pt idx="2">
                  <c:v>5</c:v>
                </c:pt>
              </c:numCache>
            </c:numRef>
          </c:yVal>
          <c:bubbleSize>
            <c:numRef>
              <c:f>Animation!$E$48:$E$50</c:f>
              <c:numCache>
                <c:formatCode>0.000</c:formatCode>
                <c:ptCount val="3"/>
                <c:pt idx="0">
                  <c:v>1</c:v>
                </c:pt>
                <c:pt idx="1">
                  <c:v>1</c:v>
                </c:pt>
                <c:pt idx="2">
                  <c:v>1</c:v>
                </c:pt>
              </c:numCache>
            </c:numRef>
          </c:bubbleSize>
          <c:bubble3D val="0"/>
          <c:extLst>
            <c:ext xmlns:c16="http://schemas.microsoft.com/office/drawing/2014/chart" uri="{C3380CC4-5D6E-409C-BE32-E72D297353CC}">
              <c16:uniqueId val="{00000004-C78F-4C53-B55F-DC81B489D7F4}"/>
            </c:ext>
          </c:extLst>
        </c:ser>
        <c:dLbls>
          <c:showLegendKey val="0"/>
          <c:showVal val="0"/>
          <c:showCatName val="0"/>
          <c:showSerName val="0"/>
          <c:showPercent val="0"/>
          <c:showBubbleSize val="0"/>
        </c:dLbls>
        <c:bubbleScale val="60"/>
        <c:showNegBubbles val="0"/>
        <c:axId val="329422672"/>
        <c:axId val="1"/>
      </c:bubbleChart>
      <c:valAx>
        <c:axId val="329422672"/>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329422672"/>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8080"/>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200" verticalDpi="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75" b="1" i="0" u="none" strike="noStrike" baseline="0">
                <a:solidFill>
                  <a:srgbClr val="000000"/>
                </a:solidFill>
                <a:latin typeface="Arial"/>
                <a:ea typeface="Arial"/>
                <a:cs typeface="Arial"/>
              </a:defRPr>
            </a:pPr>
            <a:r>
              <a:rPr lang="en-US"/>
              <a:t>p(cluster | point)</a:t>
            </a:r>
          </a:p>
        </c:rich>
      </c:tx>
      <c:layout>
        <c:manualLayout>
          <c:xMode val="edge"/>
          <c:yMode val="edge"/>
          <c:x val="0.27695581696458649"/>
          <c:y val="3.3203172497519251E-2"/>
        </c:manualLayout>
      </c:layout>
      <c:overlay val="0"/>
      <c:spPr>
        <a:noFill/>
        <a:ln w="25400">
          <a:noFill/>
        </a:ln>
      </c:spPr>
    </c:title>
    <c:autoTitleDeleted val="0"/>
    <c:plotArea>
      <c:layout>
        <c:manualLayout>
          <c:layoutTarget val="inner"/>
          <c:xMode val="edge"/>
          <c:yMode val="edge"/>
          <c:x val="3.8054997750859208E-2"/>
          <c:y val="0.16210960689965281"/>
          <c:w val="0.92600494527090738"/>
          <c:h val="0.80468865111634891"/>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F118-42AF-89A2-A772BC0F21B8}"/>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Calculation!$J$17:$J$26</c:f>
              <c:numCache>
                <c:formatCode>[=0]0;0.0##</c:formatCode>
                <c:ptCount val="10"/>
                <c:pt idx="0">
                  <c:v>0.92202970942174223</c:v>
                </c:pt>
                <c:pt idx="1">
                  <c:v>0.62245932530091364</c:v>
                </c:pt>
                <c:pt idx="2">
                  <c:v>0.49986176713468167</c:v>
                </c:pt>
                <c:pt idx="3">
                  <c:v>0.18242531933290182</c:v>
                </c:pt>
                <c:pt idx="4">
                  <c:v>0.18242141693509159</c:v>
                </c:pt>
                <c:pt idx="5">
                  <c:v>0.87226219157932872</c:v>
                </c:pt>
                <c:pt idx="6">
                  <c:v>0.98659440316624181</c:v>
                </c:pt>
                <c:pt idx="7">
                  <c:v>0.62245933090806405</c:v>
                </c:pt>
                <c:pt idx="8">
                  <c:v>0.78559703458927599</c:v>
                </c:pt>
                <c:pt idx="9">
                  <c:v>0.18242552380510027</c:v>
                </c:pt>
              </c:numCache>
            </c:numRef>
          </c:bubbleSize>
          <c:bubble3D val="0"/>
          <c:extLst>
            <c:ext xmlns:c16="http://schemas.microsoft.com/office/drawing/2014/chart" uri="{C3380CC4-5D6E-409C-BE32-E72D297353CC}">
              <c16:uniqueId val="{00000001-F118-42AF-89A2-A772BC0F21B8}"/>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Calculation!$K$17:$K$26</c:f>
              <c:numCache>
                <c:formatCode>[=0]0;0.0##</c:formatCode>
                <c:ptCount val="10"/>
                <c:pt idx="0">
                  <c:v>2.2854831491801947E-3</c:v>
                </c:pt>
                <c:pt idx="1">
                  <c:v>9.4800429162403711E-9</c:v>
                </c:pt>
                <c:pt idx="2">
                  <c:v>2.7646573063666899E-4</c:v>
                </c:pt>
                <c:pt idx="3">
                  <c:v>1.1208599006050614E-6</c:v>
                </c:pt>
                <c:pt idx="4">
                  <c:v>2.2512591325174201E-5</c:v>
                </c:pt>
                <c:pt idx="5">
                  <c:v>9.6899576666944019E-3</c:v>
                </c:pt>
                <c:pt idx="6">
                  <c:v>2.4455230243351773E-3</c:v>
                </c:pt>
                <c:pt idx="7">
                  <c:v>4.7198354905279915E-10</c:v>
                </c:pt>
                <c:pt idx="8">
                  <c:v>3.9112573270687429E-2</c:v>
                </c:pt>
                <c:pt idx="9">
                  <c:v>6.8868089667484473E-12</c:v>
                </c:pt>
              </c:numCache>
            </c:numRef>
          </c:bubbleSize>
          <c:bubble3D val="0"/>
          <c:extLst>
            <c:ext xmlns:c16="http://schemas.microsoft.com/office/drawing/2014/chart" uri="{C3380CC4-5D6E-409C-BE32-E72D297353CC}">
              <c16:uniqueId val="{00000002-F118-42AF-89A2-A772BC0F21B8}"/>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Calculation!$I$17:$I$26</c:f>
              <c:numCache>
                <c:formatCode>[=0]0;0.0##</c:formatCode>
                <c:ptCount val="10"/>
                <c:pt idx="0">
                  <c:v>7.5684807429077489E-2</c:v>
                </c:pt>
                <c:pt idx="1">
                  <c:v>0.3775406652190435</c:v>
                </c:pt>
                <c:pt idx="2">
                  <c:v>0.49986176713468167</c:v>
                </c:pt>
                <c:pt idx="3">
                  <c:v>0.81757355980719759</c:v>
                </c:pt>
                <c:pt idx="4">
                  <c:v>0.81755607047358336</c:v>
                </c:pt>
                <c:pt idx="5">
                  <c:v>0.11804785075397697</c:v>
                </c:pt>
                <c:pt idx="6">
                  <c:v>1.0960073809423017E-2</c:v>
                </c:pt>
                <c:pt idx="7">
                  <c:v>0.37754066861995245</c:v>
                </c:pt>
                <c:pt idx="8">
                  <c:v>0.17529039214003667</c:v>
                </c:pt>
                <c:pt idx="9">
                  <c:v>0.81757447618801293</c:v>
                </c:pt>
              </c:numCache>
            </c:numRef>
          </c:bubbleSize>
          <c:bubble3D val="0"/>
          <c:extLst>
            <c:ext xmlns:c16="http://schemas.microsoft.com/office/drawing/2014/chart" uri="{C3380CC4-5D6E-409C-BE32-E72D297353CC}">
              <c16:uniqueId val="{00000003-F118-42AF-89A2-A772BC0F21B8}"/>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9-F118-42AF-89A2-A772BC0F21B8}"/>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F118-42AF-89A2-A772BC0F21B8}"/>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5-F118-42AF-89A2-A772BC0F21B8}"/>
              </c:ext>
            </c:extLst>
          </c:dPt>
          <c:xVal>
            <c:numRef>
              <c:f>Calculation!$B$7:$B$9</c:f>
              <c:numCache>
                <c:formatCode>0.000</c:formatCode>
                <c:ptCount val="3"/>
                <c:pt idx="0">
                  <c:v>2</c:v>
                </c:pt>
                <c:pt idx="1">
                  <c:v>2</c:v>
                </c:pt>
                <c:pt idx="2">
                  <c:v>-1</c:v>
                </c:pt>
              </c:numCache>
            </c:numRef>
          </c:xVal>
          <c:yVal>
            <c:numRef>
              <c:f>Calculation!$C$7:$C$9</c:f>
              <c:numCache>
                <c:formatCode>0.000</c:formatCode>
                <c:ptCount val="3"/>
                <c:pt idx="0">
                  <c:v>1</c:v>
                </c:pt>
                <c:pt idx="1">
                  <c:v>2</c:v>
                </c:pt>
                <c:pt idx="2">
                  <c:v>5</c:v>
                </c:pt>
              </c:numCache>
            </c:numRef>
          </c:yVal>
          <c:bubbleSize>
            <c:numRef>
              <c:f>Calculation!$D$7:$D$9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F118-42AF-89A2-A772BC0F21B8}"/>
            </c:ext>
          </c:extLst>
        </c:ser>
        <c:dLbls>
          <c:showLegendKey val="0"/>
          <c:showVal val="0"/>
          <c:showCatName val="0"/>
          <c:showSerName val="0"/>
          <c:showPercent val="0"/>
          <c:showBubbleSize val="0"/>
        </c:dLbls>
        <c:bubbleScale val="60"/>
        <c:showNegBubbles val="0"/>
        <c:axId val="329423984"/>
        <c:axId val="1"/>
      </c:bubbleChart>
      <c:valAx>
        <c:axId val="329423984"/>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329423984"/>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CC00"/>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p(point | cluster)</a:t>
            </a:r>
          </a:p>
        </c:rich>
      </c:tx>
      <c:layout>
        <c:manualLayout>
          <c:xMode val="edge"/>
          <c:yMode val="edge"/>
          <c:x val="0.26763526145626559"/>
          <c:y val="3.3203172497519251E-2"/>
        </c:manualLayout>
      </c:layout>
      <c:overlay val="0"/>
      <c:spPr>
        <a:noFill/>
        <a:ln w="25400">
          <a:noFill/>
        </a:ln>
      </c:spPr>
    </c:title>
    <c:autoTitleDeleted val="0"/>
    <c:plotArea>
      <c:layout>
        <c:manualLayout>
          <c:layoutTarget val="inner"/>
          <c:xMode val="edge"/>
          <c:yMode val="edge"/>
          <c:x val="3.7344455086920782E-2"/>
          <c:y val="0.16992211807553972"/>
          <c:w val="0.92738730132519942"/>
          <c:h val="0.79687613994046202"/>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6AEE-4D79-AEBD-B0C799B286C2}"/>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Calculation!$F$17:$F$26</c:f>
              <c:numCache>
                <c:formatCode>General</c:formatCode>
                <c:ptCount val="10"/>
                <c:pt idx="0">
                  <c:v>3.2747176537766633E-2</c:v>
                </c:pt>
                <c:pt idx="1">
                  <c:v>4.4318484119380075E-3</c:v>
                </c:pt>
                <c:pt idx="2">
                  <c:v>0.2135384149042944</c:v>
                </c:pt>
                <c:pt idx="3">
                  <c:v>3.2747176537766633E-2</c:v>
                </c:pt>
                <c:pt idx="4">
                  <c:v>7.30688274528077E-3</c:v>
                </c:pt>
                <c:pt idx="5">
                  <c:v>0.12951759566589174</c:v>
                </c:pt>
                <c:pt idx="6">
                  <c:v>1.4867195147342977E-6</c:v>
                </c:pt>
                <c:pt idx="7">
                  <c:v>1.3383022576488537E-4</c:v>
                </c:pt>
                <c:pt idx="8">
                  <c:v>0.14676266317373987</c:v>
                </c:pt>
                <c:pt idx="9">
                  <c:v>5.9978546009136293E-4</c:v>
                </c:pt>
              </c:numCache>
            </c:numRef>
          </c:bubbleSize>
          <c:bubble3D val="0"/>
          <c:extLst>
            <c:ext xmlns:c16="http://schemas.microsoft.com/office/drawing/2014/chart" uri="{C3380CC4-5D6E-409C-BE32-E72D297353CC}">
              <c16:uniqueId val="{00000001-6AEE-4D79-AEBD-B0C799B286C2}"/>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Calculation!$G$17:$G$26</c:f>
              <c:numCache>
                <c:formatCode>General</c:formatCode>
                <c:ptCount val="10"/>
                <c:pt idx="0">
                  <c:v>8.1172135122666584E-5</c:v>
                </c:pt>
                <c:pt idx="1">
                  <c:v>6.7496961545452444E-11</c:v>
                </c:pt>
                <c:pt idx="2">
                  <c:v>1.1810475970970864E-4</c:v>
                </c:pt>
                <c:pt idx="3">
                  <c:v>2.0120560661996592E-7</c:v>
                </c:pt>
                <c:pt idx="4">
                  <c:v>9.0174096807944157E-7</c:v>
                </c:pt>
                <c:pt idx="5">
                  <c:v>1.4388105218938569E-3</c:v>
                </c:pt>
                <c:pt idx="6">
                  <c:v>3.6852092332400057E-9</c:v>
                </c:pt>
                <c:pt idx="7">
                  <c:v>1.0147757739433325E-13</c:v>
                </c:pt>
                <c:pt idx="8">
                  <c:v>7.30688274528077E-3</c:v>
                </c:pt>
                <c:pt idx="9">
                  <c:v>2.2642708095472425E-14</c:v>
                </c:pt>
              </c:numCache>
            </c:numRef>
          </c:bubbleSize>
          <c:bubble3D val="0"/>
          <c:extLst>
            <c:ext xmlns:c16="http://schemas.microsoft.com/office/drawing/2014/chart" uri="{C3380CC4-5D6E-409C-BE32-E72D297353CC}">
              <c16:uniqueId val="{00000002-6AEE-4D79-AEBD-B0C799B286C2}"/>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Calculation!$E$17:$E$26</c:f>
              <c:numCache>
                <c:formatCode>General</c:formatCode>
                <c:ptCount val="10"/>
                <c:pt idx="0">
                  <c:v>2.6880519410391441E-3</c:v>
                </c:pt>
                <c:pt idx="1">
                  <c:v>2.6880519410391441E-3</c:v>
                </c:pt>
                <c:pt idx="2">
                  <c:v>0.2135384149042944</c:v>
                </c:pt>
                <c:pt idx="3">
                  <c:v>0.14676266317373987</c:v>
                </c:pt>
                <c:pt idx="4">
                  <c:v>3.2747176537766633E-2</c:v>
                </c:pt>
                <c:pt idx="5">
                  <c:v>1.752830049356854E-2</c:v>
                </c:pt>
                <c:pt idx="6">
                  <c:v>1.6515961942520597E-8</c:v>
                </c:pt>
                <c:pt idx="7">
                  <c:v>8.1172135122666584E-5</c:v>
                </c:pt>
                <c:pt idx="8">
                  <c:v>3.2747176537766633E-2</c:v>
                </c:pt>
                <c:pt idx="9">
                  <c:v>2.6880519410391441E-3</c:v>
                </c:pt>
              </c:numCache>
            </c:numRef>
          </c:bubbleSize>
          <c:bubble3D val="0"/>
          <c:extLst>
            <c:ext xmlns:c16="http://schemas.microsoft.com/office/drawing/2014/chart" uri="{C3380CC4-5D6E-409C-BE32-E72D297353CC}">
              <c16:uniqueId val="{00000003-6AEE-4D79-AEBD-B0C799B286C2}"/>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5-6AEE-4D79-AEBD-B0C799B286C2}"/>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6AEE-4D79-AEBD-B0C799B286C2}"/>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9-6AEE-4D79-AEBD-B0C799B286C2}"/>
              </c:ext>
            </c:extLst>
          </c:dPt>
          <c:xVal>
            <c:numRef>
              <c:f>Calculation!$B$7:$B$9</c:f>
              <c:numCache>
                <c:formatCode>0.000</c:formatCode>
                <c:ptCount val="3"/>
                <c:pt idx="0">
                  <c:v>2</c:v>
                </c:pt>
                <c:pt idx="1">
                  <c:v>2</c:v>
                </c:pt>
                <c:pt idx="2">
                  <c:v>-1</c:v>
                </c:pt>
              </c:numCache>
            </c:numRef>
          </c:xVal>
          <c:yVal>
            <c:numRef>
              <c:f>Calculation!$C$7:$C$9</c:f>
              <c:numCache>
                <c:formatCode>0.000</c:formatCode>
                <c:ptCount val="3"/>
                <c:pt idx="0">
                  <c:v>1</c:v>
                </c:pt>
                <c:pt idx="1">
                  <c:v>2</c:v>
                </c:pt>
                <c:pt idx="2">
                  <c:v>5</c:v>
                </c:pt>
              </c:numCache>
            </c:numRef>
          </c:yVal>
          <c:bubbleSize>
            <c:numRef>
              <c:f>Calculation!$D$7:$D$9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6AEE-4D79-AEBD-B0C799B286C2}"/>
            </c:ext>
          </c:extLst>
        </c:ser>
        <c:dLbls>
          <c:showLegendKey val="0"/>
          <c:showVal val="0"/>
          <c:showCatName val="0"/>
          <c:showSerName val="0"/>
          <c:showPercent val="0"/>
          <c:showBubbleSize val="0"/>
        </c:dLbls>
        <c:bubbleScale val="60"/>
        <c:showNegBubbles val="0"/>
        <c:axId val="329420704"/>
        <c:axId val="1"/>
      </c:bubbleChart>
      <c:valAx>
        <c:axId val="329420704"/>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329420704"/>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75" b="1" i="0" u="none" strike="noStrike" baseline="0">
                <a:solidFill>
                  <a:srgbClr val="000000"/>
                </a:solidFill>
                <a:latin typeface="Arial"/>
                <a:ea typeface="Arial"/>
                <a:cs typeface="Arial"/>
              </a:defRPr>
            </a:pPr>
            <a:r>
              <a:rPr lang="en-US"/>
              <a:t>p(cluster | point)</a:t>
            </a:r>
          </a:p>
        </c:rich>
      </c:tx>
      <c:layout>
        <c:manualLayout>
          <c:xMode val="edge"/>
          <c:yMode val="edge"/>
          <c:x val="0.27695581696458649"/>
          <c:y val="3.3203172497519251E-2"/>
        </c:manualLayout>
      </c:layout>
      <c:overlay val="0"/>
      <c:spPr>
        <a:noFill/>
        <a:ln w="25400">
          <a:noFill/>
        </a:ln>
      </c:spPr>
    </c:title>
    <c:autoTitleDeleted val="0"/>
    <c:plotArea>
      <c:layout>
        <c:manualLayout>
          <c:layoutTarget val="inner"/>
          <c:xMode val="edge"/>
          <c:yMode val="edge"/>
          <c:x val="3.8054997750859208E-2"/>
          <c:y val="0.16210960689965281"/>
          <c:w val="0.92600494527090738"/>
          <c:h val="0.80468865111634891"/>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3F72-4415-9F3F-A62AC20CD174}"/>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Calculation!$U$17:$U$26</c:f>
              <c:numCache>
                <c:formatCode>[=0]0;0.0##</c:formatCode>
                <c:ptCount val="10"/>
                <c:pt idx="0">
                  <c:v>0.73968784141409438</c:v>
                </c:pt>
                <c:pt idx="1">
                  <c:v>0.8084452453519646</c:v>
                </c:pt>
                <c:pt idx="2">
                  <c:v>5.1552878346802819E-2</c:v>
                </c:pt>
                <c:pt idx="3">
                  <c:v>3.1746949114839435E-3</c:v>
                </c:pt>
                <c:pt idx="4">
                  <c:v>1.5539879879576661E-3</c:v>
                </c:pt>
                <c:pt idx="5">
                  <c:v>0.347812595317607</c:v>
                </c:pt>
                <c:pt idx="6">
                  <c:v>0.98615366321913833</c:v>
                </c:pt>
                <c:pt idx="7">
                  <c:v>0.89482103373763089</c:v>
                </c:pt>
                <c:pt idx="8">
                  <c:v>9.0938677784621752E-2</c:v>
                </c:pt>
                <c:pt idx="9">
                  <c:v>4.681620892590229E-2</c:v>
                </c:pt>
              </c:numCache>
            </c:numRef>
          </c:bubbleSize>
          <c:bubble3D val="0"/>
          <c:extLst>
            <c:ext xmlns:c16="http://schemas.microsoft.com/office/drawing/2014/chart" uri="{C3380CC4-5D6E-409C-BE32-E72D297353CC}">
              <c16:uniqueId val="{00000001-3F72-4415-9F3F-A62AC20CD174}"/>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Calculation!$V$17:$V$26</c:f>
              <c:numCache>
                <c:formatCode>[=0]0;0.0##</c:formatCode>
                <c:ptCount val="10"/>
                <c:pt idx="0">
                  <c:v>0.2528990634823266</c:v>
                </c:pt>
                <c:pt idx="1">
                  <c:v>6.3830045385792032E-3</c:v>
                </c:pt>
                <c:pt idx="2">
                  <c:v>0.40033029323829311</c:v>
                </c:pt>
                <c:pt idx="3">
                  <c:v>1.9881465679586229E-2</c:v>
                </c:pt>
                <c:pt idx="4">
                  <c:v>5.5485146349145156E-2</c:v>
                </c:pt>
                <c:pt idx="5">
                  <c:v>0.6310837696566316</c:v>
                </c:pt>
                <c:pt idx="6">
                  <c:v>1.3817733949901561E-2</c:v>
                </c:pt>
                <c:pt idx="7">
                  <c:v>1.2391618936474836E-3</c:v>
                </c:pt>
                <c:pt idx="8">
                  <c:v>0.87565555361333602</c:v>
                </c:pt>
                <c:pt idx="9">
                  <c:v>2.7746738334193067E-4</c:v>
                </c:pt>
              </c:numCache>
            </c:numRef>
          </c:bubbleSize>
          <c:bubble3D val="0"/>
          <c:extLst>
            <c:ext xmlns:c16="http://schemas.microsoft.com/office/drawing/2014/chart" uri="{C3380CC4-5D6E-409C-BE32-E72D297353CC}">
              <c16:uniqueId val="{00000002-3F72-4415-9F3F-A62AC20CD174}"/>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Calculation!$T$17:$T$26</c:f>
              <c:numCache>
                <c:formatCode>[=0]0;0.0##</c:formatCode>
                <c:ptCount val="10"/>
                <c:pt idx="0">
                  <c:v>7.4130951035791754E-3</c:v>
                </c:pt>
                <c:pt idx="1">
                  <c:v>0.18517175010945619</c:v>
                </c:pt>
                <c:pt idx="2">
                  <c:v>0.54811682841490406</c:v>
                </c:pt>
                <c:pt idx="3">
                  <c:v>0.97694383940892981</c:v>
                </c:pt>
                <c:pt idx="4">
                  <c:v>0.94296086566289716</c:v>
                </c:pt>
                <c:pt idx="5">
                  <c:v>2.1103635025761514E-2</c:v>
                </c:pt>
                <c:pt idx="6">
                  <c:v>2.8602830960211137E-5</c:v>
                </c:pt>
                <c:pt idx="7">
                  <c:v>0.10393980436872172</c:v>
                </c:pt>
                <c:pt idx="8">
                  <c:v>3.3405768602042252E-2</c:v>
                </c:pt>
                <c:pt idx="9">
                  <c:v>0.95290632369075579</c:v>
                </c:pt>
              </c:numCache>
            </c:numRef>
          </c:bubbleSize>
          <c:bubble3D val="0"/>
          <c:extLst>
            <c:ext xmlns:c16="http://schemas.microsoft.com/office/drawing/2014/chart" uri="{C3380CC4-5D6E-409C-BE32-E72D297353CC}">
              <c16:uniqueId val="{00000003-3F72-4415-9F3F-A62AC20CD174}"/>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5-3F72-4415-9F3F-A62AC20CD174}"/>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3F72-4415-9F3F-A62AC20CD174}"/>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9-3F72-4415-9F3F-A62AC20CD174}"/>
              </c:ext>
            </c:extLst>
          </c:dPt>
          <c:xVal>
            <c:numRef>
              <c:f>Calculation!$M$7:$M$9</c:f>
              <c:numCache>
                <c:formatCode>0.000</c:formatCode>
                <c:ptCount val="3"/>
                <c:pt idx="0">
                  <c:v>2.5079312704701593</c:v>
                </c:pt>
                <c:pt idx="1">
                  <c:v>3.1869138994154644</c:v>
                </c:pt>
                <c:pt idx="2">
                  <c:v>1.446199457982293</c:v>
                </c:pt>
              </c:numCache>
            </c:numRef>
          </c:xVal>
          <c:yVal>
            <c:numRef>
              <c:f>Calculation!$N$7:$N$9</c:f>
              <c:numCache>
                <c:formatCode>0.000</c:formatCode>
                <c:ptCount val="3"/>
                <c:pt idx="0">
                  <c:v>0.87275349178586747</c:v>
                </c:pt>
                <c:pt idx="1">
                  <c:v>3.1163116391195405</c:v>
                </c:pt>
                <c:pt idx="2">
                  <c:v>3.2597153101584531</c:v>
                </c:pt>
              </c:numCache>
            </c:numRef>
          </c:yVal>
          <c:bubbleSize>
            <c:numRef>
              <c:f>Calculation!$O$7:$O$9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3F72-4415-9F3F-A62AC20CD174}"/>
            </c:ext>
          </c:extLst>
        </c:ser>
        <c:dLbls>
          <c:showLegendKey val="0"/>
          <c:showVal val="0"/>
          <c:showCatName val="0"/>
          <c:showSerName val="0"/>
          <c:showPercent val="0"/>
          <c:showBubbleSize val="0"/>
        </c:dLbls>
        <c:bubbleScale val="60"/>
        <c:showNegBubbles val="0"/>
        <c:axId val="438830544"/>
        <c:axId val="1"/>
      </c:bubbleChart>
      <c:valAx>
        <c:axId val="438830544"/>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8830544"/>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CC00"/>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p(point | cluster)</a:t>
            </a:r>
          </a:p>
        </c:rich>
      </c:tx>
      <c:layout>
        <c:manualLayout>
          <c:xMode val="edge"/>
          <c:yMode val="edge"/>
          <c:x val="0.27010390857736566"/>
          <c:y val="3.3203172497519251E-2"/>
        </c:manualLayout>
      </c:layout>
      <c:overlay val="0"/>
      <c:spPr>
        <a:noFill/>
        <a:ln w="25400">
          <a:noFill/>
        </a:ln>
      </c:spPr>
    </c:title>
    <c:autoTitleDeleted val="0"/>
    <c:plotArea>
      <c:layout>
        <c:manualLayout>
          <c:layoutTarget val="inner"/>
          <c:xMode val="edge"/>
          <c:yMode val="edge"/>
          <c:x val="3.7113514155668562E-2"/>
          <c:y val="0.16992211807553972"/>
          <c:w val="0.92783785389171403"/>
          <c:h val="0.79687613994046202"/>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6828-4FA2-9112-5F4A72E8B34D}"/>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Calculation!$Q$17:$Q$26</c:f>
              <c:numCache>
                <c:formatCode>General</c:formatCode>
                <c:ptCount val="10"/>
                <c:pt idx="0">
                  <c:v>0.26530915888677498</c:v>
                </c:pt>
                <c:pt idx="1">
                  <c:v>4.1351152954325267E-2</c:v>
                </c:pt>
                <c:pt idx="2">
                  <c:v>9.887673562533391E-3</c:v>
                </c:pt>
                <c:pt idx="3">
                  <c:v>2.8417115269512564E-4</c:v>
                </c:pt>
                <c:pt idx="4">
                  <c:v>1.9349427017911205E-5</c:v>
                </c:pt>
                <c:pt idx="5">
                  <c:v>0.18324536815096812</c:v>
                </c:pt>
                <c:pt idx="6">
                  <c:v>1.2060455419130819E-3</c:v>
                </c:pt>
                <c:pt idx="7">
                  <c:v>4.0919196143508569E-3</c:v>
                </c:pt>
                <c:pt idx="8">
                  <c:v>3.6261491767997277E-2</c:v>
                </c:pt>
                <c:pt idx="9">
                  <c:v>6.0018161713442037E-4</c:v>
                </c:pt>
              </c:numCache>
            </c:numRef>
          </c:bubbleSize>
          <c:bubble3D val="0"/>
          <c:extLst>
            <c:ext xmlns:c16="http://schemas.microsoft.com/office/drawing/2014/chart" uri="{C3380CC4-5D6E-409C-BE32-E72D297353CC}">
              <c16:uniqueId val="{00000001-6828-4FA2-9112-5F4A72E8B34D}"/>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Calculation!$R$17:$R$26</c:f>
              <c:numCache>
                <c:formatCode>General</c:formatCode>
                <c:ptCount val="10"/>
                <c:pt idx="0">
                  <c:v>9.070912628153778E-2</c:v>
                </c:pt>
                <c:pt idx="1">
                  <c:v>3.2648419729159288E-4</c:v>
                </c:pt>
                <c:pt idx="2">
                  <c:v>7.6782041734028542E-2</c:v>
                </c:pt>
                <c:pt idx="3">
                  <c:v>1.7796163653394173E-3</c:v>
                </c:pt>
                <c:pt idx="4">
                  <c:v>6.9087135690919753E-4</c:v>
                </c:pt>
                <c:pt idx="5">
                  <c:v>0.33248703256197493</c:v>
                </c:pt>
                <c:pt idx="6">
                  <c:v>1.6898802946409218E-5</c:v>
                </c:pt>
                <c:pt idx="7">
                  <c:v>5.6665530500471194E-6</c:v>
                </c:pt>
                <c:pt idx="8">
                  <c:v>0.34916470551896039</c:v>
                </c:pt>
                <c:pt idx="9">
                  <c:v>3.5571189264767352E-6</c:v>
                </c:pt>
              </c:numCache>
            </c:numRef>
          </c:bubbleSize>
          <c:bubble3D val="0"/>
          <c:extLst>
            <c:ext xmlns:c16="http://schemas.microsoft.com/office/drawing/2014/chart" uri="{C3380CC4-5D6E-409C-BE32-E72D297353CC}">
              <c16:uniqueId val="{00000002-6828-4FA2-9112-5F4A72E8B34D}"/>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Calculation!$P$17:$P$26</c:f>
              <c:numCache>
                <c:formatCode>General</c:formatCode>
                <c:ptCount val="10"/>
                <c:pt idx="0">
                  <c:v>2.658908145520297E-3</c:v>
                </c:pt>
                <c:pt idx="1">
                  <c:v>9.4713468916038223E-3</c:v>
                </c:pt>
                <c:pt idx="2">
                  <c:v>0.10512701612971738</c:v>
                </c:pt>
                <c:pt idx="3">
                  <c:v>8.7447538961616347E-2</c:v>
                </c:pt>
                <c:pt idx="4">
                  <c:v>1.1741244200265757E-2</c:v>
                </c:pt>
                <c:pt idx="5">
                  <c:v>1.1118468455945451E-2</c:v>
                </c:pt>
                <c:pt idx="6">
                  <c:v>3.498067091597926E-8</c:v>
                </c:pt>
                <c:pt idx="7">
                  <c:v>4.7530546128497553E-4</c:v>
                </c:pt>
                <c:pt idx="8">
                  <c:v>1.3320437823337498E-2</c:v>
                </c:pt>
                <c:pt idx="9">
                  <c:v>1.2216214671194901E-2</c:v>
                </c:pt>
              </c:numCache>
            </c:numRef>
          </c:bubbleSize>
          <c:bubble3D val="0"/>
          <c:extLst>
            <c:ext xmlns:c16="http://schemas.microsoft.com/office/drawing/2014/chart" uri="{C3380CC4-5D6E-409C-BE32-E72D297353CC}">
              <c16:uniqueId val="{00000003-6828-4FA2-9112-5F4A72E8B34D}"/>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5-6828-4FA2-9112-5F4A72E8B34D}"/>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6828-4FA2-9112-5F4A72E8B34D}"/>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9-6828-4FA2-9112-5F4A72E8B34D}"/>
              </c:ext>
            </c:extLst>
          </c:dPt>
          <c:xVal>
            <c:numRef>
              <c:f>Calculation!$M$7:$M$9</c:f>
              <c:numCache>
                <c:formatCode>0.000</c:formatCode>
                <c:ptCount val="3"/>
                <c:pt idx="0">
                  <c:v>2.5079312704701593</c:v>
                </c:pt>
                <c:pt idx="1">
                  <c:v>3.1869138994154644</c:v>
                </c:pt>
                <c:pt idx="2">
                  <c:v>1.446199457982293</c:v>
                </c:pt>
              </c:numCache>
            </c:numRef>
          </c:xVal>
          <c:yVal>
            <c:numRef>
              <c:f>Calculation!$N$7:$N$9</c:f>
              <c:numCache>
                <c:formatCode>0.000</c:formatCode>
                <c:ptCount val="3"/>
                <c:pt idx="0">
                  <c:v>0.87275349178586747</c:v>
                </c:pt>
                <c:pt idx="1">
                  <c:v>3.1163116391195405</c:v>
                </c:pt>
                <c:pt idx="2">
                  <c:v>3.2597153101584531</c:v>
                </c:pt>
              </c:numCache>
            </c:numRef>
          </c:yVal>
          <c:bubbleSize>
            <c:numRef>
              <c:f>Calculation!$O$7:$O$9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6828-4FA2-9112-5F4A72E8B34D}"/>
            </c:ext>
          </c:extLst>
        </c:ser>
        <c:dLbls>
          <c:showLegendKey val="0"/>
          <c:showVal val="0"/>
          <c:showCatName val="0"/>
          <c:showSerName val="0"/>
          <c:showPercent val="0"/>
          <c:showBubbleSize val="0"/>
        </c:dLbls>
        <c:bubbleScale val="60"/>
        <c:showNegBubbles val="0"/>
        <c:axId val="438827592"/>
        <c:axId val="1"/>
      </c:bubbleChart>
      <c:valAx>
        <c:axId val="438827592"/>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8827592"/>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50" b="1" i="0" u="none" strike="noStrike" baseline="0">
                <a:solidFill>
                  <a:srgbClr val="000000"/>
                </a:solidFill>
                <a:latin typeface="Arial"/>
                <a:ea typeface="Arial"/>
                <a:cs typeface="Arial"/>
              </a:defRPr>
            </a:pPr>
            <a:r>
              <a:rPr lang="en-US"/>
              <a:t>p(cluster | point)</a:t>
            </a:r>
          </a:p>
        </c:rich>
      </c:tx>
      <c:layout>
        <c:manualLayout>
          <c:xMode val="edge"/>
          <c:yMode val="edge"/>
          <c:x val="0.27695581696458649"/>
          <c:y val="3.3203172497519251E-2"/>
        </c:manualLayout>
      </c:layout>
      <c:overlay val="0"/>
      <c:spPr>
        <a:noFill/>
        <a:ln w="25400">
          <a:noFill/>
        </a:ln>
      </c:spPr>
    </c:title>
    <c:autoTitleDeleted val="0"/>
    <c:plotArea>
      <c:layout>
        <c:manualLayout>
          <c:layoutTarget val="inner"/>
          <c:xMode val="edge"/>
          <c:yMode val="edge"/>
          <c:x val="3.8054997750859208E-2"/>
          <c:y val="0.16210960689965281"/>
          <c:w val="0.92600494527090738"/>
          <c:h val="0.80468865111634891"/>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826F-4DDF-83F2-6B5EABB3335D}"/>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Calculation!$AF$17:$AF$26</c:f>
              <c:numCache>
                <c:formatCode>[=0]0;0.0##</c:formatCode>
                <c:ptCount val="10"/>
                <c:pt idx="0">
                  <c:v>0.62868574149934853</c:v>
                </c:pt>
                <c:pt idx="1">
                  <c:v>0.97948107134047002</c:v>
                </c:pt>
                <c:pt idx="2">
                  <c:v>5.8698465450240185E-4</c:v>
                </c:pt>
                <c:pt idx="3">
                  <c:v>1.2014153605664164E-5</c:v>
                </c:pt>
                <c:pt idx="4">
                  <c:v>1.1374546905044834E-6</c:v>
                </c:pt>
                <c:pt idx="5">
                  <c:v>6.3211757759963932E-2</c:v>
                </c:pt>
                <c:pt idx="6">
                  <c:v>0.99947624603892926</c:v>
                </c:pt>
                <c:pt idx="7">
                  <c:v>0.99821480876817836</c:v>
                </c:pt>
                <c:pt idx="8">
                  <c:v>2.6684469979961368E-3</c:v>
                </c:pt>
                <c:pt idx="9">
                  <c:v>0.12373457281267763</c:v>
                </c:pt>
              </c:numCache>
            </c:numRef>
          </c:bubbleSize>
          <c:bubble3D val="0"/>
          <c:extLst>
            <c:ext xmlns:c16="http://schemas.microsoft.com/office/drawing/2014/chart" uri="{C3380CC4-5D6E-409C-BE32-E72D297353CC}">
              <c16:uniqueId val="{00000001-826F-4DDF-83F2-6B5EABB3335D}"/>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Calculation!$AG$17:$AG$26</c:f>
              <c:numCache>
                <c:formatCode>[=0]0;0.0##</c:formatCode>
                <c:ptCount val="10"/>
                <c:pt idx="0">
                  <c:v>0.36903653700078232</c:v>
                </c:pt>
                <c:pt idx="1">
                  <c:v>5.3813202209263703E-3</c:v>
                </c:pt>
                <c:pt idx="2">
                  <c:v>0.51782096926929322</c:v>
                </c:pt>
                <c:pt idx="3">
                  <c:v>2.5584137877112782E-2</c:v>
                </c:pt>
                <c:pt idx="4">
                  <c:v>4.5053964252835255E-2</c:v>
                </c:pt>
                <c:pt idx="5">
                  <c:v>0.92582696846132051</c:v>
                </c:pt>
                <c:pt idx="6">
                  <c:v>5.2368002579602482E-4</c:v>
                </c:pt>
                <c:pt idx="7">
                  <c:v>2.948461757688362E-4</c:v>
                </c:pt>
                <c:pt idx="8">
                  <c:v>0.97518440097961712</c:v>
                </c:pt>
                <c:pt idx="9">
                  <c:v>2.201321521915333E-3</c:v>
                </c:pt>
              </c:numCache>
            </c:numRef>
          </c:bubbleSize>
          <c:bubble3D val="0"/>
          <c:extLst>
            <c:ext xmlns:c16="http://schemas.microsoft.com/office/drawing/2014/chart" uri="{C3380CC4-5D6E-409C-BE32-E72D297353CC}">
              <c16:uniqueId val="{00000002-826F-4DDF-83F2-6B5EABB3335D}"/>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Calculation!$AE$17:$AE$26</c:f>
              <c:numCache>
                <c:formatCode>[=0]0;0.0##</c:formatCode>
                <c:ptCount val="10"/>
                <c:pt idx="0">
                  <c:v>2.2777214998692574E-3</c:v>
                </c:pt>
                <c:pt idx="1">
                  <c:v>1.513760843860369E-2</c:v>
                </c:pt>
                <c:pt idx="2">
                  <c:v>0.48159204607620437</c:v>
                </c:pt>
                <c:pt idx="3">
                  <c:v>0.97440384796928159</c:v>
                </c:pt>
                <c:pt idx="4">
                  <c:v>0.95494489829247431</c:v>
                </c:pt>
                <c:pt idx="5">
                  <c:v>1.0961273778715554E-2</c:v>
                </c:pt>
                <c:pt idx="6">
                  <c:v>7.3935274695244201E-8</c:v>
                </c:pt>
                <c:pt idx="7">
                  <c:v>1.4903450560528439E-3</c:v>
                </c:pt>
                <c:pt idx="8">
                  <c:v>2.2147152022386804E-2</c:v>
                </c:pt>
                <c:pt idx="9">
                  <c:v>0.87406410566540693</c:v>
                </c:pt>
              </c:numCache>
            </c:numRef>
          </c:bubbleSize>
          <c:bubble3D val="0"/>
          <c:extLst>
            <c:ext xmlns:c16="http://schemas.microsoft.com/office/drawing/2014/chart" uri="{C3380CC4-5D6E-409C-BE32-E72D297353CC}">
              <c16:uniqueId val="{00000003-826F-4DDF-83F2-6B5EABB3335D}"/>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9-826F-4DDF-83F2-6B5EABB3335D}"/>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826F-4DDF-83F2-6B5EABB3335D}"/>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5-826F-4DDF-83F2-6B5EABB3335D}"/>
              </c:ext>
            </c:extLst>
          </c:dPt>
          <c:xVal>
            <c:numRef>
              <c:f>Calculation!$X$7:$X$9</c:f>
              <c:numCache>
                <c:formatCode>0.000</c:formatCode>
                <c:ptCount val="3"/>
                <c:pt idx="0">
                  <c:v>2.1042166392897266</c:v>
                </c:pt>
                <c:pt idx="1">
                  <c:v>4.4413368173452668</c:v>
                </c:pt>
                <c:pt idx="2">
                  <c:v>1.5181560023234819</c:v>
                </c:pt>
              </c:numCache>
            </c:numRef>
          </c:xVal>
          <c:yVal>
            <c:numRef>
              <c:f>Calculation!$Y$7:$Y$9</c:f>
              <c:numCache>
                <c:formatCode>0.000</c:formatCode>
                <c:ptCount val="3"/>
                <c:pt idx="0">
                  <c:v>0.42531983358738612</c:v>
                </c:pt>
                <c:pt idx="1">
                  <c:v>3.4877476489990173</c:v>
                </c:pt>
                <c:pt idx="2">
                  <c:v>2.9002434908244417</c:v>
                </c:pt>
              </c:numCache>
            </c:numRef>
          </c:yVal>
          <c:bubbleSize>
            <c:numRef>
              <c:f>Calculation!$Z$7:$Z$9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826F-4DDF-83F2-6B5EABB3335D}"/>
            </c:ext>
          </c:extLst>
        </c:ser>
        <c:dLbls>
          <c:showLegendKey val="0"/>
          <c:showVal val="0"/>
          <c:showCatName val="0"/>
          <c:showSerName val="0"/>
          <c:showPercent val="0"/>
          <c:showBubbleSize val="0"/>
        </c:dLbls>
        <c:bubbleScale val="60"/>
        <c:showNegBubbles val="0"/>
        <c:axId val="438824640"/>
        <c:axId val="1"/>
      </c:bubbleChart>
      <c:valAx>
        <c:axId val="438824640"/>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8824640"/>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CC00"/>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25" b="1" i="0" u="none" strike="noStrike" baseline="0">
                <a:solidFill>
                  <a:srgbClr val="000000"/>
                </a:solidFill>
                <a:latin typeface="Arial"/>
                <a:ea typeface="Arial"/>
                <a:cs typeface="Arial"/>
              </a:defRPr>
            </a:pPr>
            <a:r>
              <a:rPr lang="en-US"/>
              <a:t>p(point | cluster)</a:t>
            </a:r>
          </a:p>
        </c:rich>
      </c:tx>
      <c:layout>
        <c:manualLayout>
          <c:xMode val="edge"/>
          <c:yMode val="edge"/>
          <c:x val="0.27010390857736566"/>
          <c:y val="3.3203172497519251E-2"/>
        </c:manualLayout>
      </c:layout>
      <c:overlay val="0"/>
      <c:spPr>
        <a:noFill/>
        <a:ln w="25400">
          <a:noFill/>
        </a:ln>
      </c:spPr>
    </c:title>
    <c:autoTitleDeleted val="0"/>
    <c:plotArea>
      <c:layout>
        <c:manualLayout>
          <c:layoutTarget val="inner"/>
          <c:xMode val="edge"/>
          <c:yMode val="edge"/>
          <c:x val="3.7113514155668562E-2"/>
          <c:y val="0.16992211807553972"/>
          <c:w val="0.92783785389171403"/>
          <c:h val="0.79687613994046202"/>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A3F8-4F15-9479-EF1ADF07A551}"/>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Calculation!$AB$17:$AB$26</c:f>
              <c:numCache>
                <c:formatCode>General</c:formatCode>
                <c:ptCount val="10"/>
                <c:pt idx="0">
                  <c:v>0.12382751630220053</c:v>
                </c:pt>
                <c:pt idx="1">
                  <c:v>0.11285095168340027</c:v>
                </c:pt>
                <c:pt idx="2">
                  <c:v>1.4835412044348901E-4</c:v>
                </c:pt>
                <c:pt idx="3">
                  <c:v>2.4423987435417423E-6</c:v>
                </c:pt>
                <c:pt idx="4">
                  <c:v>4.7436838464174344E-8</c:v>
                </c:pt>
                <c:pt idx="5">
                  <c:v>2.0260617109581922E-2</c:v>
                </c:pt>
                <c:pt idx="6">
                  <c:v>1.4542254751425473E-2</c:v>
                </c:pt>
                <c:pt idx="7">
                  <c:v>3.9150169571071883E-2</c:v>
                </c:pt>
                <c:pt idx="8">
                  <c:v>9.4977355687662327E-4</c:v>
                </c:pt>
                <c:pt idx="9">
                  <c:v>7.7924688202135237E-4</c:v>
                </c:pt>
              </c:numCache>
            </c:numRef>
          </c:bubbleSize>
          <c:bubble3D val="0"/>
          <c:extLst>
            <c:ext xmlns:c16="http://schemas.microsoft.com/office/drawing/2014/chart" uri="{C3380CC4-5D6E-409C-BE32-E72D297353CC}">
              <c16:uniqueId val="{00000001-A3F8-4F15-9479-EF1ADF07A551}"/>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Calculation!$AC$17:$AC$26</c:f>
              <c:numCache>
                <c:formatCode>General</c:formatCode>
                <c:ptCount val="10"/>
                <c:pt idx="0">
                  <c:v>7.2686359472046894E-2</c:v>
                </c:pt>
                <c:pt idx="1">
                  <c:v>6.2000902928482655E-4</c:v>
                </c:pt>
                <c:pt idx="2">
                  <c:v>0.13087373554639767</c:v>
                </c:pt>
                <c:pt idx="3">
                  <c:v>5.2010876718106168E-3</c:v>
                </c:pt>
                <c:pt idx="4">
                  <c:v>1.8789474800833899E-3</c:v>
                </c:pt>
                <c:pt idx="5">
                  <c:v>0.29674583309246827</c:v>
                </c:pt>
                <c:pt idx="6">
                  <c:v>7.6194790757060537E-6</c:v>
                </c:pt>
                <c:pt idx="7">
                  <c:v>1.156392159016023E-5</c:v>
                </c:pt>
                <c:pt idx="8">
                  <c:v>0.34709490494828671</c:v>
                </c:pt>
                <c:pt idx="9">
                  <c:v>1.38633277125863E-5</c:v>
                </c:pt>
              </c:numCache>
            </c:numRef>
          </c:bubbleSize>
          <c:bubble3D val="0"/>
          <c:extLst>
            <c:ext xmlns:c16="http://schemas.microsoft.com/office/drawing/2014/chart" uri="{C3380CC4-5D6E-409C-BE32-E72D297353CC}">
              <c16:uniqueId val="{00000002-A3F8-4F15-9479-EF1ADF07A551}"/>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Calculation!$AA$17:$AA$26</c:f>
              <c:numCache>
                <c:formatCode>General</c:formatCode>
                <c:ptCount val="10"/>
                <c:pt idx="0">
                  <c:v>4.4862572433134368E-4</c:v>
                </c:pt>
                <c:pt idx="1">
                  <c:v>1.7440801751984958E-3</c:v>
                </c:pt>
                <c:pt idx="2">
                  <c:v>0.12171726102240581</c:v>
                </c:pt>
                <c:pt idx="3">
                  <c:v>0.19808992061333378</c:v>
                </c:pt>
                <c:pt idx="4">
                  <c:v>3.98253814069695E-2</c:v>
                </c:pt>
                <c:pt idx="5">
                  <c:v>3.5133047859098603E-3</c:v>
                </c:pt>
                <c:pt idx="6">
                  <c:v>1.0757490275491595E-9</c:v>
                </c:pt>
                <c:pt idx="7">
                  <c:v>5.8451608963685305E-5</c:v>
                </c:pt>
                <c:pt idx="8">
                  <c:v>7.8827795218663239E-3</c:v>
                </c:pt>
                <c:pt idx="9">
                  <c:v>5.5046193924933864E-3</c:v>
                </c:pt>
              </c:numCache>
            </c:numRef>
          </c:bubbleSize>
          <c:bubble3D val="0"/>
          <c:extLst>
            <c:ext xmlns:c16="http://schemas.microsoft.com/office/drawing/2014/chart" uri="{C3380CC4-5D6E-409C-BE32-E72D297353CC}">
              <c16:uniqueId val="{00000003-A3F8-4F15-9479-EF1ADF07A551}"/>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9-A3F8-4F15-9479-EF1ADF07A551}"/>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A3F8-4F15-9479-EF1ADF07A551}"/>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5-A3F8-4F15-9479-EF1ADF07A551}"/>
              </c:ext>
            </c:extLst>
          </c:dPt>
          <c:xVal>
            <c:numRef>
              <c:f>Calculation!$X$7:$X$9</c:f>
              <c:numCache>
                <c:formatCode>0.000</c:formatCode>
                <c:ptCount val="3"/>
                <c:pt idx="0">
                  <c:v>2.1042166392897266</c:v>
                </c:pt>
                <c:pt idx="1">
                  <c:v>4.4413368173452668</c:v>
                </c:pt>
                <c:pt idx="2">
                  <c:v>1.5181560023234819</c:v>
                </c:pt>
              </c:numCache>
            </c:numRef>
          </c:xVal>
          <c:yVal>
            <c:numRef>
              <c:f>Calculation!$Y$7:$Y$9</c:f>
              <c:numCache>
                <c:formatCode>0.000</c:formatCode>
                <c:ptCount val="3"/>
                <c:pt idx="0">
                  <c:v>0.42531983358738612</c:v>
                </c:pt>
                <c:pt idx="1">
                  <c:v>3.4877476489990173</c:v>
                </c:pt>
                <c:pt idx="2">
                  <c:v>2.9002434908244417</c:v>
                </c:pt>
              </c:numCache>
            </c:numRef>
          </c:yVal>
          <c:bubbleSize>
            <c:numRef>
              <c:f>Calculation!$Z$7:$Z$9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A3F8-4F15-9479-EF1ADF07A551}"/>
            </c:ext>
          </c:extLst>
        </c:ser>
        <c:dLbls>
          <c:showLegendKey val="0"/>
          <c:showVal val="0"/>
          <c:showCatName val="0"/>
          <c:showSerName val="0"/>
          <c:showPercent val="0"/>
          <c:showBubbleSize val="0"/>
        </c:dLbls>
        <c:bubbleScale val="60"/>
        <c:showNegBubbles val="0"/>
        <c:axId val="439107880"/>
        <c:axId val="1"/>
      </c:bubbleChart>
      <c:valAx>
        <c:axId val="439107880"/>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9107880"/>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50" b="1" i="0" u="none" strike="noStrike" baseline="0">
                <a:solidFill>
                  <a:srgbClr val="000000"/>
                </a:solidFill>
                <a:latin typeface="Arial"/>
                <a:ea typeface="Arial"/>
                <a:cs typeface="Arial"/>
              </a:defRPr>
            </a:pPr>
            <a:r>
              <a:rPr lang="en-US"/>
              <a:t>p(cluster | point)</a:t>
            </a:r>
          </a:p>
        </c:rich>
      </c:tx>
      <c:layout>
        <c:manualLayout>
          <c:xMode val="edge"/>
          <c:yMode val="edge"/>
          <c:x val="0.27695581696458649"/>
          <c:y val="3.3203172497519251E-2"/>
        </c:manualLayout>
      </c:layout>
      <c:overlay val="0"/>
      <c:spPr>
        <a:noFill/>
        <a:ln w="25400">
          <a:noFill/>
        </a:ln>
      </c:spPr>
    </c:title>
    <c:autoTitleDeleted val="0"/>
    <c:plotArea>
      <c:layout>
        <c:manualLayout>
          <c:layoutTarget val="inner"/>
          <c:xMode val="edge"/>
          <c:yMode val="edge"/>
          <c:x val="3.8054997750859208E-2"/>
          <c:y val="0.16210960689965281"/>
          <c:w val="0.92600494527090738"/>
          <c:h val="0.80468865111634891"/>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54F5-4439-92FA-1ABEE3E42640}"/>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Calculation!$AQ$17:$AQ$26</c:f>
              <c:numCache>
                <c:formatCode>[=0]0;0.0##</c:formatCode>
                <c:ptCount val="10"/>
                <c:pt idx="0">
                  <c:v>0.39950255165393955</c:v>
                </c:pt>
                <c:pt idx="1">
                  <c:v>0.99236727723747176</c:v>
                </c:pt>
                <c:pt idx="2">
                  <c:v>1.5433948133177511E-4</c:v>
                </c:pt>
                <c:pt idx="3">
                  <c:v>2.7970976558731469E-6</c:v>
                </c:pt>
                <c:pt idx="4">
                  <c:v>1.2659153349701776E-7</c:v>
                </c:pt>
                <c:pt idx="5">
                  <c:v>1.9542836166217093E-2</c:v>
                </c:pt>
                <c:pt idx="6">
                  <c:v>0.99909316197705034</c:v>
                </c:pt>
                <c:pt idx="7">
                  <c:v>0.99968992473958995</c:v>
                </c:pt>
                <c:pt idx="8">
                  <c:v>5.9138172346919176E-4</c:v>
                </c:pt>
                <c:pt idx="9">
                  <c:v>0.39865894648299627</c:v>
                </c:pt>
              </c:numCache>
            </c:numRef>
          </c:bubbleSize>
          <c:bubble3D val="0"/>
          <c:extLst>
            <c:ext xmlns:c16="http://schemas.microsoft.com/office/drawing/2014/chart" uri="{C3380CC4-5D6E-409C-BE32-E72D297353CC}">
              <c16:uniqueId val="{00000001-54F5-4439-92FA-1ABEE3E42640}"/>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Calculation!$AR$17:$AR$26</c:f>
              <c:numCache>
                <c:formatCode>[=0]0;0.0##</c:formatCode>
                <c:ptCount val="10"/>
                <c:pt idx="0">
                  <c:v>0.59922480197312322</c:v>
                </c:pt>
                <c:pt idx="1">
                  <c:v>4.5186932434919634E-3</c:v>
                </c:pt>
                <c:pt idx="2">
                  <c:v>0.46800796447880533</c:v>
                </c:pt>
                <c:pt idx="3">
                  <c:v>1.5528966940152182E-2</c:v>
                </c:pt>
                <c:pt idx="4">
                  <c:v>1.9090192831554168E-2</c:v>
                </c:pt>
                <c:pt idx="5">
                  <c:v>0.97405042936110431</c:v>
                </c:pt>
                <c:pt idx="6">
                  <c:v>9.0682426952211814E-4</c:v>
                </c:pt>
                <c:pt idx="7">
                  <c:v>1.675849527853494E-4</c:v>
                </c:pt>
                <c:pt idx="8">
                  <c:v>0.97945700677325021</c:v>
                </c:pt>
                <c:pt idx="9">
                  <c:v>4.0658708319948039E-3</c:v>
                </c:pt>
              </c:numCache>
            </c:numRef>
          </c:bubbleSize>
          <c:bubble3D val="0"/>
          <c:extLst>
            <c:ext xmlns:c16="http://schemas.microsoft.com/office/drawing/2014/chart" uri="{C3380CC4-5D6E-409C-BE32-E72D297353CC}">
              <c16:uniqueId val="{00000002-54F5-4439-92FA-1ABEE3E42640}"/>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Calculation!$AP$17:$AP$26</c:f>
              <c:numCache>
                <c:formatCode>[=0]0;0.0##</c:formatCode>
                <c:ptCount val="10"/>
                <c:pt idx="0">
                  <c:v>1.2726463729371862E-3</c:v>
                </c:pt>
                <c:pt idx="1">
                  <c:v>3.1140295190362388E-3</c:v>
                </c:pt>
                <c:pt idx="2">
                  <c:v>0.53183769603986286</c:v>
                </c:pt>
                <c:pt idx="3">
                  <c:v>0.98446823596219191</c:v>
                </c:pt>
                <c:pt idx="4">
                  <c:v>0.98090968057691241</c:v>
                </c:pt>
                <c:pt idx="5">
                  <c:v>6.4067344726785628E-3</c:v>
                </c:pt>
                <c:pt idx="6">
                  <c:v>1.375342761448825E-8</c:v>
                </c:pt>
                <c:pt idx="7">
                  <c:v>1.4249030762463605E-4</c:v>
                </c:pt>
                <c:pt idx="8">
                  <c:v>1.9951611503280509E-2</c:v>
                </c:pt>
                <c:pt idx="9">
                  <c:v>0.5972751826850089</c:v>
                </c:pt>
              </c:numCache>
            </c:numRef>
          </c:bubbleSize>
          <c:bubble3D val="0"/>
          <c:extLst>
            <c:ext xmlns:c16="http://schemas.microsoft.com/office/drawing/2014/chart" uri="{C3380CC4-5D6E-409C-BE32-E72D297353CC}">
              <c16:uniqueId val="{00000003-54F5-4439-92FA-1ABEE3E42640}"/>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9-54F5-4439-92FA-1ABEE3E42640}"/>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54F5-4439-92FA-1ABEE3E42640}"/>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5-54F5-4439-92FA-1ABEE3E42640}"/>
              </c:ext>
            </c:extLst>
          </c:dPt>
          <c:xVal>
            <c:numRef>
              <c:f>Calculation!$AI$7:$AI$9</c:f>
              <c:numCache>
                <c:formatCode>0.000</c:formatCode>
                <c:ptCount val="3"/>
                <c:pt idx="0">
                  <c:v>1.7865794706928853</c:v>
                </c:pt>
                <c:pt idx="1">
                  <c:v>4.8783301994994508</c:v>
                </c:pt>
                <c:pt idx="2">
                  <c:v>1.5764905996702903</c:v>
                </c:pt>
              </c:numCache>
            </c:numRef>
          </c:xVal>
          <c:yVal>
            <c:numRef>
              <c:f>Calculation!$AJ$7:$AJ$9</c:f>
              <c:numCache>
                <c:formatCode>0.000</c:formatCode>
                <c:ptCount val="3"/>
                <c:pt idx="0">
                  <c:v>0.2605802367485161</c:v>
                </c:pt>
                <c:pt idx="1">
                  <c:v>3.3448039338256206</c:v>
                </c:pt>
                <c:pt idx="2">
                  <c:v>2.9416078850682768</c:v>
                </c:pt>
              </c:numCache>
            </c:numRef>
          </c:yVal>
          <c:bubbleSize>
            <c:numRef>
              <c:f>Calculation!$AK$7:$AK$9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54F5-4439-92FA-1ABEE3E42640}"/>
            </c:ext>
          </c:extLst>
        </c:ser>
        <c:dLbls>
          <c:showLegendKey val="0"/>
          <c:showVal val="0"/>
          <c:showCatName val="0"/>
          <c:showSerName val="0"/>
          <c:showPercent val="0"/>
          <c:showBubbleSize val="0"/>
        </c:dLbls>
        <c:bubbleScale val="60"/>
        <c:showNegBubbles val="0"/>
        <c:axId val="439107224"/>
        <c:axId val="1"/>
      </c:bubbleChart>
      <c:valAx>
        <c:axId val="439107224"/>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9107224"/>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CC00"/>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25" b="1" i="0" u="none" strike="noStrike" baseline="0">
                <a:solidFill>
                  <a:srgbClr val="000000"/>
                </a:solidFill>
                <a:latin typeface="Arial"/>
                <a:ea typeface="Arial"/>
                <a:cs typeface="Arial"/>
              </a:defRPr>
            </a:pPr>
            <a:r>
              <a:rPr lang="en-US"/>
              <a:t>p(point | cluster)</a:t>
            </a:r>
          </a:p>
        </c:rich>
      </c:tx>
      <c:layout>
        <c:manualLayout>
          <c:xMode val="edge"/>
          <c:yMode val="edge"/>
          <c:x val="0.27010390857736566"/>
          <c:y val="3.3203172497519251E-2"/>
        </c:manualLayout>
      </c:layout>
      <c:overlay val="0"/>
      <c:spPr>
        <a:noFill/>
        <a:ln w="25400">
          <a:noFill/>
        </a:ln>
      </c:spPr>
    </c:title>
    <c:autoTitleDeleted val="0"/>
    <c:plotArea>
      <c:layout>
        <c:manualLayout>
          <c:layoutTarget val="inner"/>
          <c:xMode val="edge"/>
          <c:yMode val="edge"/>
          <c:x val="3.7113514155668562E-2"/>
          <c:y val="0.16992211807553972"/>
          <c:w val="0.92783785389171403"/>
          <c:h val="0.79687613994046202"/>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FC22-49C2-AD6A-B7AC7F6C0BCD}"/>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Calculation!$AM$17:$AM$26</c:f>
              <c:numCache>
                <c:formatCode>General</c:formatCode>
                <c:ptCount val="10"/>
                <c:pt idx="0">
                  <c:v>5.5153137481024336E-2</c:v>
                </c:pt>
                <c:pt idx="1">
                  <c:v>0.16031909379177495</c:v>
                </c:pt>
                <c:pt idx="2">
                  <c:v>3.9417058499910366E-5</c:v>
                </c:pt>
                <c:pt idx="3">
                  <c:v>8.0411963487030923E-7</c:v>
                </c:pt>
                <c:pt idx="4">
                  <c:v>1.0088718891825647E-8</c:v>
                </c:pt>
                <c:pt idx="5">
                  <c:v>6.2612601553456116E-3</c:v>
                </c:pt>
                <c:pt idx="6">
                  <c:v>1.1662538888824226E-2</c:v>
                </c:pt>
                <c:pt idx="7">
                  <c:v>8.6098876699361976E-2</c:v>
                </c:pt>
                <c:pt idx="8">
                  <c:v>2.0365035559350258E-4</c:v>
                </c:pt>
                <c:pt idx="9">
                  <c:v>1.4733788457616983E-3</c:v>
                </c:pt>
              </c:numCache>
            </c:numRef>
          </c:bubbleSize>
          <c:bubble3D val="0"/>
          <c:extLst>
            <c:ext xmlns:c16="http://schemas.microsoft.com/office/drawing/2014/chart" uri="{C3380CC4-5D6E-409C-BE32-E72D297353CC}">
              <c16:uniqueId val="{00000001-FC22-49C2-AD6A-B7AC7F6C0BCD}"/>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Calculation!$AN$17:$AN$26</c:f>
              <c:numCache>
                <c:formatCode>General</c:formatCode>
                <c:ptCount val="10"/>
                <c:pt idx="0">
                  <c:v>8.2725699118666313E-2</c:v>
                </c:pt>
                <c:pt idx="1">
                  <c:v>7.3000472963629607E-4</c:v>
                </c:pt>
                <c:pt idx="2">
                  <c:v>0.11952545878153802</c:v>
                </c:pt>
                <c:pt idx="3">
                  <c:v>4.4643229383173845E-3</c:v>
                </c:pt>
                <c:pt idx="4">
                  <c:v>1.5213939174915853E-3</c:v>
                </c:pt>
                <c:pt idx="5">
                  <c:v>0.31207257179992565</c:v>
                </c:pt>
                <c:pt idx="6">
                  <c:v>1.058547261769194E-5</c:v>
                </c:pt>
                <c:pt idx="7">
                  <c:v>1.4433351611793813E-5</c:v>
                </c:pt>
                <c:pt idx="8">
                  <c:v>0.33728936793615905</c:v>
                </c:pt>
                <c:pt idx="9">
                  <c:v>1.5026799539581314E-5</c:v>
                </c:pt>
              </c:numCache>
            </c:numRef>
          </c:bubbleSize>
          <c:bubble3D val="0"/>
          <c:extLst>
            <c:ext xmlns:c16="http://schemas.microsoft.com/office/drawing/2014/chart" uri="{C3380CC4-5D6E-409C-BE32-E72D297353CC}">
              <c16:uniqueId val="{00000002-FC22-49C2-AD6A-B7AC7F6C0BCD}"/>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Calculation!$AL$17:$AL$26</c:f>
              <c:numCache>
                <c:formatCode>General</c:formatCode>
                <c:ptCount val="10"/>
                <c:pt idx="0">
                  <c:v>1.7569459839678961E-4</c:v>
                </c:pt>
                <c:pt idx="1">
                  <c:v>5.0307824732239706E-4</c:v>
                </c:pt>
                <c:pt idx="2">
                  <c:v>0.1358270573178666</c:v>
                </c:pt>
                <c:pt idx="3">
                  <c:v>0.28301844834810336</c:v>
                </c:pt>
                <c:pt idx="4">
                  <c:v>7.8173648365228873E-2</c:v>
                </c:pt>
                <c:pt idx="5">
                  <c:v>2.0526309967744245E-3</c:v>
                </c:pt>
                <c:pt idx="6">
                  <c:v>1.6054547314806134E-10</c:v>
                </c:pt>
                <c:pt idx="7">
                  <c:v>1.2272060689441744E-5</c:v>
                </c:pt>
                <c:pt idx="8">
                  <c:v>6.8706093138472908E-3</c:v>
                </c:pt>
                <c:pt idx="9">
                  <c:v>2.2074322601564403E-3</c:v>
                </c:pt>
              </c:numCache>
            </c:numRef>
          </c:bubbleSize>
          <c:bubble3D val="0"/>
          <c:extLst>
            <c:ext xmlns:c16="http://schemas.microsoft.com/office/drawing/2014/chart" uri="{C3380CC4-5D6E-409C-BE32-E72D297353CC}">
              <c16:uniqueId val="{00000003-FC22-49C2-AD6A-B7AC7F6C0BCD}"/>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5-FC22-49C2-AD6A-B7AC7F6C0BCD}"/>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FC22-49C2-AD6A-B7AC7F6C0BCD}"/>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9-FC22-49C2-AD6A-B7AC7F6C0BCD}"/>
              </c:ext>
            </c:extLst>
          </c:dPt>
          <c:xVal>
            <c:numRef>
              <c:f>Calculation!$AI$7:$AI$9</c:f>
              <c:numCache>
                <c:formatCode>0.000</c:formatCode>
                <c:ptCount val="3"/>
                <c:pt idx="0">
                  <c:v>1.7865794706928853</c:v>
                </c:pt>
                <c:pt idx="1">
                  <c:v>4.8783301994994508</c:v>
                </c:pt>
                <c:pt idx="2">
                  <c:v>1.5764905996702903</c:v>
                </c:pt>
              </c:numCache>
            </c:numRef>
          </c:xVal>
          <c:yVal>
            <c:numRef>
              <c:f>Calculation!$AJ$7:$AJ$9</c:f>
              <c:numCache>
                <c:formatCode>0.000</c:formatCode>
                <c:ptCount val="3"/>
                <c:pt idx="0">
                  <c:v>0.2605802367485161</c:v>
                </c:pt>
                <c:pt idx="1">
                  <c:v>3.3448039338256206</c:v>
                </c:pt>
                <c:pt idx="2">
                  <c:v>2.9416078850682768</c:v>
                </c:pt>
              </c:numCache>
            </c:numRef>
          </c:yVal>
          <c:bubbleSize>
            <c:numRef>
              <c:f>Calculation!$AK$7:$AK$9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FC22-49C2-AD6A-B7AC7F6C0BCD}"/>
            </c:ext>
          </c:extLst>
        </c:ser>
        <c:dLbls>
          <c:showLegendKey val="0"/>
          <c:showVal val="0"/>
          <c:showCatName val="0"/>
          <c:showSerName val="0"/>
          <c:showPercent val="0"/>
          <c:showBubbleSize val="0"/>
        </c:dLbls>
        <c:bubbleScale val="60"/>
        <c:showNegBubbles val="0"/>
        <c:axId val="439102960"/>
        <c:axId val="1"/>
      </c:bubbleChart>
      <c:valAx>
        <c:axId val="439102960"/>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9102960"/>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50" b="1" i="0" u="none" strike="noStrike" baseline="0">
                <a:solidFill>
                  <a:srgbClr val="000000"/>
                </a:solidFill>
                <a:latin typeface="Arial"/>
                <a:ea typeface="Arial"/>
                <a:cs typeface="Arial"/>
              </a:defRPr>
            </a:pPr>
            <a:r>
              <a:rPr lang="en-US"/>
              <a:t>p(cluster | point)</a:t>
            </a:r>
          </a:p>
        </c:rich>
      </c:tx>
      <c:layout>
        <c:manualLayout>
          <c:xMode val="edge"/>
          <c:yMode val="edge"/>
          <c:x val="0.27695581696458649"/>
          <c:y val="3.3203172497519251E-2"/>
        </c:manualLayout>
      </c:layout>
      <c:overlay val="0"/>
      <c:spPr>
        <a:noFill/>
        <a:ln w="25400">
          <a:noFill/>
        </a:ln>
      </c:spPr>
    </c:title>
    <c:autoTitleDeleted val="0"/>
    <c:plotArea>
      <c:layout>
        <c:manualLayout>
          <c:layoutTarget val="inner"/>
          <c:xMode val="edge"/>
          <c:yMode val="edge"/>
          <c:x val="3.8054997750859208E-2"/>
          <c:y val="0.16210960689965281"/>
          <c:w val="0.92600494527090738"/>
          <c:h val="0.80468865111634891"/>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4389-45FE-978C-90FEFBFD139D}"/>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Calculation!$BB$17:$BB$26</c:f>
              <c:numCache>
                <c:formatCode>[=0]0;0.0##</c:formatCode>
                <c:ptCount val="10"/>
                <c:pt idx="0">
                  <c:v>0.21808606320986876</c:v>
                </c:pt>
                <c:pt idx="1">
                  <c:v>0.99486706736898423</c:v>
                </c:pt>
                <c:pt idx="2">
                  <c:v>1.3244270338304598E-4</c:v>
                </c:pt>
                <c:pt idx="3">
                  <c:v>3.1052769128126623E-6</c:v>
                </c:pt>
                <c:pt idx="4">
                  <c:v>8.681030326324603E-8</c:v>
                </c:pt>
                <c:pt idx="5">
                  <c:v>1.0072281516471122E-2</c:v>
                </c:pt>
                <c:pt idx="6">
                  <c:v>0.99507070877199499</c:v>
                </c:pt>
                <c:pt idx="7">
                  <c:v>0.99981995733029239</c:v>
                </c:pt>
                <c:pt idx="8">
                  <c:v>3.6412483792158472E-4</c:v>
                </c:pt>
                <c:pt idx="9">
                  <c:v>0.83472109537352623</c:v>
                </c:pt>
              </c:numCache>
            </c:numRef>
          </c:bubbleSize>
          <c:bubble3D val="0"/>
          <c:extLst>
            <c:ext xmlns:c16="http://schemas.microsoft.com/office/drawing/2014/chart" uri="{C3380CC4-5D6E-409C-BE32-E72D297353CC}">
              <c16:uniqueId val="{00000001-4389-45FE-978C-90FEFBFD139D}"/>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Calculation!$BC$17:$BC$26</c:f>
              <c:numCache>
                <c:formatCode>[=0]0;0.0##</c:formatCode>
                <c:ptCount val="10"/>
                <c:pt idx="0">
                  <c:v>0.78108371307891922</c:v>
                </c:pt>
                <c:pt idx="1">
                  <c:v>4.3786916621101511E-3</c:v>
                </c:pt>
                <c:pt idx="2">
                  <c:v>0.3379240337347893</c:v>
                </c:pt>
                <c:pt idx="3">
                  <c:v>7.5794038801469199E-3</c:v>
                </c:pt>
                <c:pt idx="4">
                  <c:v>5.8683176814871355E-3</c:v>
                </c:pt>
                <c:pt idx="5">
                  <c:v>0.98443348225430005</c:v>
                </c:pt>
                <c:pt idx="6">
                  <c:v>4.9292796900404032E-3</c:v>
                </c:pt>
                <c:pt idx="7">
                  <c:v>1.58888872463049E-4</c:v>
                </c:pt>
                <c:pt idx="8">
                  <c:v>0.97117540764492527</c:v>
                </c:pt>
                <c:pt idx="9">
                  <c:v>3.4629450006172691E-3</c:v>
                </c:pt>
              </c:numCache>
            </c:numRef>
          </c:bubbleSize>
          <c:bubble3D val="0"/>
          <c:extLst>
            <c:ext xmlns:c16="http://schemas.microsoft.com/office/drawing/2014/chart" uri="{C3380CC4-5D6E-409C-BE32-E72D297353CC}">
              <c16:uniqueId val="{00000002-4389-45FE-978C-90FEFBFD139D}"/>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Calculation!$BA$17:$BA$26</c:f>
              <c:numCache>
                <c:formatCode>[=0]0;0.0##</c:formatCode>
                <c:ptCount val="10"/>
                <c:pt idx="0">
                  <c:v>8.3022371121189856E-4</c:v>
                </c:pt>
                <c:pt idx="1">
                  <c:v>7.5424096890561773E-4</c:v>
                </c:pt>
                <c:pt idx="2">
                  <c:v>0.66194352356182773</c:v>
                </c:pt>
                <c:pt idx="3">
                  <c:v>0.99241749084294029</c:v>
                </c:pt>
                <c:pt idx="4">
                  <c:v>0.99413159550820973</c:v>
                </c:pt>
                <c:pt idx="5">
                  <c:v>5.4942362292289019E-3</c:v>
                </c:pt>
                <c:pt idx="6">
                  <c:v>1.1537964714260586E-8</c:v>
                </c:pt>
                <c:pt idx="7">
                  <c:v>2.1153797244517161E-5</c:v>
                </c:pt>
                <c:pt idx="8">
                  <c:v>2.8460467517153257E-2</c:v>
                </c:pt>
                <c:pt idx="9">
                  <c:v>0.16181595962585663</c:v>
                </c:pt>
              </c:numCache>
            </c:numRef>
          </c:bubbleSize>
          <c:bubble3D val="0"/>
          <c:extLst>
            <c:ext xmlns:c16="http://schemas.microsoft.com/office/drawing/2014/chart" uri="{C3380CC4-5D6E-409C-BE32-E72D297353CC}">
              <c16:uniqueId val="{00000003-4389-45FE-978C-90FEFBFD139D}"/>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5-4389-45FE-978C-90FEFBFD139D}"/>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4389-45FE-978C-90FEFBFD139D}"/>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9-4389-45FE-978C-90FEFBFD139D}"/>
              </c:ext>
            </c:extLst>
          </c:dPt>
          <c:xVal>
            <c:numRef>
              <c:f>Calculation!$AT$7:$AT$9</c:f>
              <c:numCache>
                <c:formatCode>0.000</c:formatCode>
                <c:ptCount val="3"/>
                <c:pt idx="0">
                  <c:v>1.4576443409461235</c:v>
                </c:pt>
                <c:pt idx="1">
                  <c:v>5.0365029096836462</c:v>
                </c:pt>
                <c:pt idx="2">
                  <c:v>1.7152366082504102</c:v>
                </c:pt>
              </c:numCache>
            </c:numRef>
          </c:xVal>
          <c:yVal>
            <c:numRef>
              <c:f>Calculation!$AU$7:$AU$9</c:f>
              <c:numCache>
                <c:formatCode>0.000</c:formatCode>
                <c:ptCount val="3"/>
                <c:pt idx="0">
                  <c:v>0.28528983222399373</c:v>
                </c:pt>
                <c:pt idx="1">
                  <c:v>3.0572970764384162</c:v>
                </c:pt>
                <c:pt idx="2">
                  <c:v>3.0868566330059797</c:v>
                </c:pt>
              </c:numCache>
            </c:numRef>
          </c:yVal>
          <c:bubbleSize>
            <c:numRef>
              <c:f>Calculation!$AV$7:$AV$9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4389-45FE-978C-90FEFBFD139D}"/>
            </c:ext>
          </c:extLst>
        </c:ser>
        <c:dLbls>
          <c:showLegendKey val="0"/>
          <c:showVal val="0"/>
          <c:showCatName val="0"/>
          <c:showSerName val="0"/>
          <c:showPercent val="0"/>
          <c:showBubbleSize val="0"/>
        </c:dLbls>
        <c:bubbleScale val="60"/>
        <c:showNegBubbles val="0"/>
        <c:axId val="439278360"/>
        <c:axId val="1"/>
      </c:bubbleChart>
      <c:valAx>
        <c:axId val="439278360"/>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9278360"/>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CC00"/>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25" b="1" i="0" u="none" strike="noStrike" baseline="0">
                <a:solidFill>
                  <a:srgbClr val="000000"/>
                </a:solidFill>
                <a:latin typeface="Arial"/>
                <a:ea typeface="Arial"/>
                <a:cs typeface="Arial"/>
              </a:defRPr>
            </a:pPr>
            <a:r>
              <a:rPr lang="en-US"/>
              <a:t>p(point | cluster)</a:t>
            </a:r>
          </a:p>
        </c:rich>
      </c:tx>
      <c:layout>
        <c:manualLayout>
          <c:xMode val="edge"/>
          <c:yMode val="edge"/>
          <c:x val="0.27010390857736566"/>
          <c:y val="3.3203172497519251E-2"/>
        </c:manualLayout>
      </c:layout>
      <c:overlay val="0"/>
      <c:spPr>
        <a:noFill/>
        <a:ln w="25400">
          <a:noFill/>
        </a:ln>
      </c:spPr>
    </c:title>
    <c:autoTitleDeleted val="0"/>
    <c:plotArea>
      <c:layout>
        <c:manualLayout>
          <c:layoutTarget val="inner"/>
          <c:xMode val="edge"/>
          <c:yMode val="edge"/>
          <c:x val="3.7113514155668562E-2"/>
          <c:y val="0.16992211807553972"/>
          <c:w val="0.92783785389171403"/>
          <c:h val="0.79687613994046202"/>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908F-4B11-8F44-D608E5400ED4}"/>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Calculation!$AX$17:$AX$26</c:f>
              <c:numCache>
                <c:formatCode>General</c:formatCode>
                <c:ptCount val="10"/>
                <c:pt idx="0">
                  <c:v>3.2162471586014756E-2</c:v>
                </c:pt>
                <c:pt idx="1">
                  <c:v>0.22796952566271353</c:v>
                </c:pt>
                <c:pt idx="2">
                  <c:v>3.4374226801122547E-5</c:v>
                </c:pt>
                <c:pt idx="3">
                  <c:v>1.0793526335299316E-6</c:v>
                </c:pt>
                <c:pt idx="4">
                  <c:v>1.156072777198189E-8</c:v>
                </c:pt>
                <c:pt idx="5">
                  <c:v>3.5989741490407342E-3</c:v>
                </c:pt>
                <c:pt idx="6">
                  <c:v>5.2509040742697724E-3</c:v>
                </c:pt>
                <c:pt idx="7">
                  <c:v>0.14341103393098492</c:v>
                </c:pt>
                <c:pt idx="8">
                  <c:v>1.1538249783147349E-4</c:v>
                </c:pt>
                <c:pt idx="9">
                  <c:v>3.7233276863714243E-3</c:v>
                </c:pt>
              </c:numCache>
            </c:numRef>
          </c:bubbleSize>
          <c:bubble3D val="0"/>
          <c:extLst>
            <c:ext xmlns:c16="http://schemas.microsoft.com/office/drawing/2014/chart" uri="{C3380CC4-5D6E-409C-BE32-E72D297353CC}">
              <c16:uniqueId val="{00000001-908F-4B11-8F44-D608E5400ED4}"/>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Calculation!$AY$17:$AY$26</c:f>
              <c:numCache>
                <c:formatCode>General</c:formatCode>
                <c:ptCount val="10"/>
                <c:pt idx="0">
                  <c:v>0.11519114224197179</c:v>
                </c:pt>
                <c:pt idx="1">
                  <c:v>1.0033584324731762E-3</c:v>
                </c:pt>
                <c:pt idx="2">
                  <c:v>8.7704925076580578E-2</c:v>
                </c:pt>
                <c:pt idx="3">
                  <c:v>2.6344991987247938E-3</c:v>
                </c:pt>
                <c:pt idx="4">
                  <c:v>7.8149736431002467E-4</c:v>
                </c:pt>
                <c:pt idx="5">
                  <c:v>0.35175254467318223</c:v>
                </c:pt>
                <c:pt idx="6">
                  <c:v>2.6011392536707785E-5</c:v>
                </c:pt>
                <c:pt idx="7">
                  <c:v>2.2790520746253438E-5</c:v>
                </c:pt>
                <c:pt idx="8">
                  <c:v>0.3077423803500674</c:v>
                </c:pt>
                <c:pt idx="9">
                  <c:v>1.5446691198585371E-5</c:v>
                </c:pt>
              </c:numCache>
            </c:numRef>
          </c:bubbleSize>
          <c:bubble3D val="0"/>
          <c:extLst>
            <c:ext xmlns:c16="http://schemas.microsoft.com/office/drawing/2014/chart" uri="{C3380CC4-5D6E-409C-BE32-E72D297353CC}">
              <c16:uniqueId val="{00000002-908F-4B11-8F44-D608E5400ED4}"/>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Calculation!$AW$17:$AW$26</c:f>
              <c:numCache>
                <c:formatCode>General</c:formatCode>
                <c:ptCount val="10"/>
                <c:pt idx="0">
                  <c:v>1.2243811515911713E-4</c:v>
                </c:pt>
                <c:pt idx="1">
                  <c:v>1.7283108623900923E-4</c:v>
                </c:pt>
                <c:pt idx="2">
                  <c:v>0.17180105983370611</c:v>
                </c:pt>
                <c:pt idx="3">
                  <c:v>0.34495101801799172</c:v>
                </c:pt>
                <c:pt idx="4">
                  <c:v>0.13239079133665824</c:v>
                </c:pt>
                <c:pt idx="5">
                  <c:v>1.9631713157919808E-3</c:v>
                </c:pt>
                <c:pt idx="6">
                  <c:v>6.0884865158636515E-11</c:v>
                </c:pt>
                <c:pt idx="7">
                  <c:v>3.034234226033199E-6</c:v>
                </c:pt>
                <c:pt idx="8">
                  <c:v>9.0184450210118363E-3</c:v>
                </c:pt>
                <c:pt idx="9">
                  <c:v>7.2179060276667006E-4</c:v>
                </c:pt>
              </c:numCache>
            </c:numRef>
          </c:bubbleSize>
          <c:bubble3D val="0"/>
          <c:extLst>
            <c:ext xmlns:c16="http://schemas.microsoft.com/office/drawing/2014/chart" uri="{C3380CC4-5D6E-409C-BE32-E72D297353CC}">
              <c16:uniqueId val="{00000003-908F-4B11-8F44-D608E5400ED4}"/>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9-908F-4B11-8F44-D608E5400ED4}"/>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908F-4B11-8F44-D608E5400ED4}"/>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5-908F-4B11-8F44-D608E5400ED4}"/>
              </c:ext>
            </c:extLst>
          </c:dPt>
          <c:xVal>
            <c:numRef>
              <c:f>Calculation!$AT$7:$AT$9</c:f>
              <c:numCache>
                <c:formatCode>0.000</c:formatCode>
                <c:ptCount val="3"/>
                <c:pt idx="0">
                  <c:v>1.4576443409461235</c:v>
                </c:pt>
                <c:pt idx="1">
                  <c:v>5.0365029096836462</c:v>
                </c:pt>
                <c:pt idx="2">
                  <c:v>1.7152366082504102</c:v>
                </c:pt>
              </c:numCache>
            </c:numRef>
          </c:xVal>
          <c:yVal>
            <c:numRef>
              <c:f>Calculation!$AU$7:$AU$9</c:f>
              <c:numCache>
                <c:formatCode>0.000</c:formatCode>
                <c:ptCount val="3"/>
                <c:pt idx="0">
                  <c:v>0.28528983222399373</c:v>
                </c:pt>
                <c:pt idx="1">
                  <c:v>3.0572970764384162</c:v>
                </c:pt>
                <c:pt idx="2">
                  <c:v>3.0868566330059797</c:v>
                </c:pt>
              </c:numCache>
            </c:numRef>
          </c:yVal>
          <c:bubbleSize>
            <c:numRef>
              <c:f>Calculation!$AV$7:$AV$9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908F-4B11-8F44-D608E5400ED4}"/>
            </c:ext>
          </c:extLst>
        </c:ser>
        <c:dLbls>
          <c:showLegendKey val="0"/>
          <c:showVal val="0"/>
          <c:showCatName val="0"/>
          <c:showSerName val="0"/>
          <c:showPercent val="0"/>
          <c:showBubbleSize val="0"/>
        </c:dLbls>
        <c:bubbleScale val="60"/>
        <c:showNegBubbles val="0"/>
        <c:axId val="439275736"/>
        <c:axId val="1"/>
      </c:bubbleChart>
      <c:valAx>
        <c:axId val="439275736"/>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9275736"/>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75" b="1" i="0" u="none" strike="noStrike" baseline="0">
                <a:solidFill>
                  <a:srgbClr val="000000"/>
                </a:solidFill>
                <a:latin typeface="Arial"/>
                <a:ea typeface="Arial"/>
                <a:cs typeface="Arial"/>
              </a:defRPr>
            </a:pPr>
            <a:r>
              <a:rPr lang="en-US"/>
              <a:t>p(cluster | point)</a:t>
            </a:r>
          </a:p>
        </c:rich>
      </c:tx>
      <c:layout>
        <c:manualLayout>
          <c:xMode val="edge"/>
          <c:yMode val="edge"/>
          <c:x val="0.27695581696458649"/>
          <c:y val="3.3203172497519251E-2"/>
        </c:manualLayout>
      </c:layout>
      <c:overlay val="0"/>
      <c:spPr>
        <a:noFill/>
        <a:ln w="25400">
          <a:noFill/>
        </a:ln>
      </c:spPr>
    </c:title>
    <c:autoTitleDeleted val="0"/>
    <c:plotArea>
      <c:layout>
        <c:manualLayout>
          <c:layoutTarget val="inner"/>
          <c:xMode val="edge"/>
          <c:yMode val="edge"/>
          <c:x val="3.8054997750859208E-2"/>
          <c:y val="0.16210960689965281"/>
          <c:w val="0.92600494527090738"/>
          <c:h val="0.80468865111634891"/>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D266-46F9-800F-1989557F7B8E}"/>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Calculation!$BM$17:$BM$26</c:f>
              <c:numCache>
                <c:formatCode>[=0]0;0.0##</c:formatCode>
                <c:ptCount val="10"/>
                <c:pt idx="0">
                  <c:v>0.10250370776222463</c:v>
                </c:pt>
                <c:pt idx="1">
                  <c:v>0.99596218287067284</c:v>
                </c:pt>
                <c:pt idx="2">
                  <c:v>1.4162288314624916E-4</c:v>
                </c:pt>
                <c:pt idx="3">
                  <c:v>5.8417014932363007E-6</c:v>
                </c:pt>
                <c:pt idx="4">
                  <c:v>8.3588566024009171E-8</c:v>
                </c:pt>
                <c:pt idx="5">
                  <c:v>5.5273808057725634E-3</c:v>
                </c:pt>
                <c:pt idx="6">
                  <c:v>0.9649642391470109</c:v>
                </c:pt>
                <c:pt idx="7">
                  <c:v>0.99985139002225842</c:v>
                </c:pt>
                <c:pt idx="8">
                  <c:v>2.6028913313227238E-4</c:v>
                </c:pt>
                <c:pt idx="9">
                  <c:v>0.99167587838719318</c:v>
                </c:pt>
              </c:numCache>
            </c:numRef>
          </c:bubbleSize>
          <c:bubble3D val="0"/>
          <c:extLst>
            <c:ext xmlns:c16="http://schemas.microsoft.com/office/drawing/2014/chart" uri="{C3380CC4-5D6E-409C-BE32-E72D297353CC}">
              <c16:uniqueId val="{00000001-D266-46F9-800F-1989557F7B8E}"/>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Calculation!$BN$17:$BN$26</c:f>
              <c:numCache>
                <c:formatCode>[=0]0;0.0##</c:formatCode>
                <c:ptCount val="10"/>
                <c:pt idx="0">
                  <c:v>0.89712812317609048</c:v>
                </c:pt>
                <c:pt idx="1">
                  <c:v>3.9661568635483311E-3</c:v>
                </c:pt>
                <c:pt idx="2">
                  <c:v>0.22666205803241368</c:v>
                </c:pt>
                <c:pt idx="3">
                  <c:v>4.0816175135566712E-3</c:v>
                </c:pt>
                <c:pt idx="4">
                  <c:v>1.5756706510055042E-3</c:v>
                </c:pt>
                <c:pt idx="5">
                  <c:v>0.99009247235188114</c:v>
                </c:pt>
                <c:pt idx="6">
                  <c:v>3.5035753672641466E-2</c:v>
                </c:pt>
                <c:pt idx="7">
                  <c:v>1.4758318068033865E-4</c:v>
                </c:pt>
                <c:pt idx="8">
                  <c:v>0.95423180095441795</c:v>
                </c:pt>
                <c:pt idx="9">
                  <c:v>1.3078567691077972E-3</c:v>
                </c:pt>
              </c:numCache>
            </c:numRef>
          </c:bubbleSize>
          <c:bubble3D val="0"/>
          <c:extLst>
            <c:ext xmlns:c16="http://schemas.microsoft.com/office/drawing/2014/chart" uri="{C3380CC4-5D6E-409C-BE32-E72D297353CC}">
              <c16:uniqueId val="{00000002-D266-46F9-800F-1989557F7B8E}"/>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Calculation!$BL$17:$BL$26</c:f>
              <c:numCache>
                <c:formatCode>[=0]0;0.0##</c:formatCode>
                <c:ptCount val="10"/>
                <c:pt idx="0">
                  <c:v>3.6816906168485688E-4</c:v>
                </c:pt>
                <c:pt idx="1">
                  <c:v>7.166026577883186E-5</c:v>
                </c:pt>
                <c:pt idx="2">
                  <c:v>0.7731963190844402</c:v>
                </c:pt>
                <c:pt idx="3">
                  <c:v>0.99591254078495006</c:v>
                </c:pt>
                <c:pt idx="4">
                  <c:v>0.99842424576042843</c:v>
                </c:pt>
                <c:pt idx="5">
                  <c:v>4.3801468423462601E-3</c:v>
                </c:pt>
                <c:pt idx="6">
                  <c:v>7.1803475954078551E-9</c:v>
                </c:pt>
                <c:pt idx="7">
                  <c:v>1.0267970612001834E-6</c:v>
                </c:pt>
                <c:pt idx="8">
                  <c:v>4.5507909912449802E-2</c:v>
                </c:pt>
                <c:pt idx="9">
                  <c:v>7.0162648436988984E-3</c:v>
                </c:pt>
              </c:numCache>
            </c:numRef>
          </c:bubbleSize>
          <c:bubble3D val="0"/>
          <c:extLst>
            <c:ext xmlns:c16="http://schemas.microsoft.com/office/drawing/2014/chart" uri="{C3380CC4-5D6E-409C-BE32-E72D297353CC}">
              <c16:uniqueId val="{00000003-D266-46F9-800F-1989557F7B8E}"/>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9-D266-46F9-800F-1989557F7B8E}"/>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D266-46F9-800F-1989557F7B8E}"/>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5-D266-46F9-800F-1989557F7B8E}"/>
              </c:ext>
            </c:extLst>
          </c:dPt>
          <c:xVal>
            <c:numRef>
              <c:f>Calculation!$BE$7:$BE$9</c:f>
              <c:numCache>
                <c:formatCode>0.000</c:formatCode>
                <c:ptCount val="3"/>
                <c:pt idx="0">
                  <c:v>0.88172670429440347</c:v>
                </c:pt>
                <c:pt idx="1">
                  <c:v>5.1311161872385176</c:v>
                </c:pt>
                <c:pt idx="2">
                  <c:v>1.8360579104018708</c:v>
                </c:pt>
              </c:numCache>
            </c:numRef>
          </c:xVal>
          <c:yVal>
            <c:numRef>
              <c:f>Calculation!$BE$8:$BG$8</c:f>
              <c:numCache>
                <c:formatCode>0.000</c:formatCode>
                <c:ptCount val="3"/>
                <c:pt idx="0">
                  <c:v>5.1311161872385176</c:v>
                </c:pt>
                <c:pt idx="1">
                  <c:v>2.6815493179418546</c:v>
                </c:pt>
                <c:pt idx="2">
                  <c:v>1</c:v>
                </c:pt>
              </c:numCache>
            </c:numRef>
          </c:yVal>
          <c:bubbleSize>
            <c:numRef>
              <c:f>Calculation!$BG$7:$BG$9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D266-46F9-800F-1989557F7B8E}"/>
            </c:ext>
          </c:extLst>
        </c:ser>
        <c:dLbls>
          <c:showLegendKey val="0"/>
          <c:showVal val="0"/>
          <c:showCatName val="0"/>
          <c:showSerName val="0"/>
          <c:showPercent val="0"/>
          <c:showBubbleSize val="0"/>
        </c:dLbls>
        <c:bubbleScale val="60"/>
        <c:showNegBubbles val="0"/>
        <c:axId val="439276064"/>
        <c:axId val="1"/>
      </c:bubbleChart>
      <c:valAx>
        <c:axId val="439276064"/>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9276064"/>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CC00"/>
    </a:solidFill>
    <a:ln w="3175">
      <a:solidFill>
        <a:srgbClr val="000000"/>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25" b="1" i="0" u="none" strike="noStrike" baseline="0">
                <a:solidFill>
                  <a:srgbClr val="000000"/>
                </a:solidFill>
                <a:latin typeface="Arial"/>
                <a:ea typeface="Arial"/>
                <a:cs typeface="Arial"/>
              </a:defRPr>
            </a:pPr>
            <a:r>
              <a:rPr lang="en-US"/>
              <a:t>p(point | cluster)</a:t>
            </a:r>
          </a:p>
        </c:rich>
      </c:tx>
      <c:layout>
        <c:manualLayout>
          <c:xMode val="edge"/>
          <c:yMode val="edge"/>
          <c:x val="0.27010390857736566"/>
          <c:y val="3.3203172497519251E-2"/>
        </c:manualLayout>
      </c:layout>
      <c:overlay val="0"/>
      <c:spPr>
        <a:noFill/>
        <a:ln w="25400">
          <a:noFill/>
        </a:ln>
      </c:spPr>
    </c:title>
    <c:autoTitleDeleted val="0"/>
    <c:plotArea>
      <c:layout>
        <c:manualLayout>
          <c:layoutTarget val="inner"/>
          <c:xMode val="edge"/>
          <c:yMode val="edge"/>
          <c:x val="3.7113514155668562E-2"/>
          <c:y val="0.16992211807553972"/>
          <c:w val="0.92783785389171403"/>
          <c:h val="0.79687613994046202"/>
        </c:manualLayout>
      </c:layout>
      <c:bubbleChart>
        <c:varyColors val="0"/>
        <c:ser>
          <c:idx val="4"/>
          <c:order val="0"/>
          <c:spPr>
            <a:solidFill>
              <a:srgbClr val="FFFFFF"/>
            </a:solidFill>
            <a:ln w="25400">
              <a:noFill/>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Lit>
              <c:formatCode>General</c:formatCode>
              <c:ptCount val="10"/>
              <c:pt idx="0">
                <c:v>1</c:v>
              </c:pt>
              <c:pt idx="1">
                <c:v>1</c:v>
              </c:pt>
              <c:pt idx="2">
                <c:v>1</c:v>
              </c:pt>
              <c:pt idx="3">
                <c:v>1</c:v>
              </c:pt>
              <c:pt idx="4">
                <c:v>1</c:v>
              </c:pt>
              <c:pt idx="5">
                <c:v>1</c:v>
              </c:pt>
              <c:pt idx="6">
                <c:v>1</c:v>
              </c:pt>
              <c:pt idx="7">
                <c:v>1</c:v>
              </c:pt>
              <c:pt idx="8">
                <c:v>1</c:v>
              </c:pt>
              <c:pt idx="9">
                <c:v>1</c:v>
              </c:pt>
            </c:numLit>
          </c:bubbleSize>
          <c:bubble3D val="0"/>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 xmlns:c16="http://schemas.microsoft.com/office/drawing/2014/chart" uri="{C3380CC4-5D6E-409C-BE32-E72D297353CC}">
              <c16:uniqueId val="{00000000-ECC5-4F42-9E2B-FBB9D3B28353}"/>
            </c:ext>
          </c:extLst>
        </c:ser>
        <c:ser>
          <c:idx val="1"/>
          <c:order val="1"/>
          <c:spPr>
            <a:noFill/>
            <a:ln w="38100">
              <a:solidFill>
                <a:srgbClr val="008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Calculation!$BI$17:$BI$26</c:f>
              <c:numCache>
                <c:formatCode>General</c:formatCode>
                <c:ptCount val="10"/>
                <c:pt idx="0">
                  <c:v>1.7267610884153975E-2</c:v>
                </c:pt>
                <c:pt idx="1">
                  <c:v>0.3135523344251091</c:v>
                </c:pt>
                <c:pt idx="2">
                  <c:v>3.9074971743141871E-5</c:v>
                </c:pt>
                <c:pt idx="3">
                  <c:v>2.1557920060603797E-6</c:v>
                </c:pt>
                <c:pt idx="4">
                  <c:v>2.1005772228836449E-8</c:v>
                </c:pt>
                <c:pt idx="5">
                  <c:v>2.1211145831644823E-3</c:v>
                </c:pt>
                <c:pt idx="6">
                  <c:v>1.6066697425991985E-3</c:v>
                </c:pt>
                <c:pt idx="7">
                  <c:v>0.21682324215784296</c:v>
                </c:pt>
                <c:pt idx="8">
                  <c:v>7.4649671995391309E-5</c:v>
                </c:pt>
                <c:pt idx="9">
                  <c:v>1.0857625522061929E-2</c:v>
                </c:pt>
              </c:numCache>
            </c:numRef>
          </c:bubbleSize>
          <c:bubble3D val="0"/>
          <c:extLst>
            <c:ext xmlns:c16="http://schemas.microsoft.com/office/drawing/2014/chart" uri="{C3380CC4-5D6E-409C-BE32-E72D297353CC}">
              <c16:uniqueId val="{00000001-ECC5-4F42-9E2B-FBB9D3B28353}"/>
            </c:ext>
          </c:extLst>
        </c:ser>
        <c:ser>
          <c:idx val="2"/>
          <c:order val="2"/>
          <c:spPr>
            <a:noFill/>
            <a:ln w="38100">
              <a:solidFill>
                <a:srgbClr val="0000FF"/>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Calculation!$BJ$17:$BJ$26</c:f>
              <c:numCache>
                <c:formatCode>General</c:formatCode>
                <c:ptCount val="10"/>
                <c:pt idx="0">
                  <c:v>0.15112877067989372</c:v>
                </c:pt>
                <c:pt idx="1">
                  <c:v>1.2486395213092455E-3</c:v>
                </c:pt>
                <c:pt idx="2">
                  <c:v>6.2538011627067472E-2</c:v>
                </c:pt>
                <c:pt idx="3">
                  <c:v>1.5062595063628983E-3</c:v>
                </c:pt>
                <c:pt idx="4">
                  <c:v>3.959653859019099E-4</c:v>
                </c:pt>
                <c:pt idx="5">
                  <c:v>0.3799447976505792</c:v>
                </c:pt>
                <c:pt idx="6">
                  <c:v>5.8334685422902972E-5</c:v>
                </c:pt>
                <c:pt idx="7">
                  <c:v>3.2004219869480201E-5</c:v>
                </c:pt>
                <c:pt idx="8">
                  <c:v>0.27366909287227126</c:v>
                </c:pt>
                <c:pt idx="9">
                  <c:v>1.4319415592280741E-5</c:v>
                </c:pt>
              </c:numCache>
            </c:numRef>
          </c:bubbleSize>
          <c:bubble3D val="0"/>
          <c:extLst>
            <c:ext xmlns:c16="http://schemas.microsoft.com/office/drawing/2014/chart" uri="{C3380CC4-5D6E-409C-BE32-E72D297353CC}">
              <c16:uniqueId val="{00000002-ECC5-4F42-9E2B-FBB9D3B28353}"/>
            </c:ext>
          </c:extLst>
        </c:ser>
        <c:ser>
          <c:idx val="0"/>
          <c:order val="3"/>
          <c:spPr>
            <a:noFill/>
            <a:ln w="38100">
              <a:solidFill>
                <a:srgbClr val="FF0000"/>
              </a:solidFill>
              <a:prstDash val="solid"/>
            </a:ln>
          </c:spPr>
          <c:invertIfNegative val="1"/>
          <c:xVal>
            <c:numRef>
              <c:f>Animation!$N$19:$N$28</c:f>
              <c:numCache>
                <c:formatCode>General</c:formatCode>
                <c:ptCount val="10"/>
                <c:pt idx="0">
                  <c:v>3</c:v>
                </c:pt>
                <c:pt idx="1">
                  <c:v>5</c:v>
                </c:pt>
                <c:pt idx="2">
                  <c:v>1</c:v>
                </c:pt>
                <c:pt idx="3">
                  <c:v>1</c:v>
                </c:pt>
                <c:pt idx="4">
                  <c:v>0</c:v>
                </c:pt>
                <c:pt idx="5">
                  <c:v>2</c:v>
                </c:pt>
                <c:pt idx="6">
                  <c:v>5</c:v>
                </c:pt>
                <c:pt idx="7">
                  <c:v>6</c:v>
                </c:pt>
                <c:pt idx="8">
                  <c:v>1</c:v>
                </c:pt>
                <c:pt idx="9">
                  <c:v>5</c:v>
                </c:pt>
              </c:numCache>
            </c:numRef>
          </c:xVal>
          <c:yVal>
            <c:numRef>
              <c:f>Animation!$O$19:$O$28</c:f>
              <c:numCache>
                <c:formatCode>General</c:formatCode>
                <c:ptCount val="10"/>
                <c:pt idx="0">
                  <c:v>4</c:v>
                </c:pt>
                <c:pt idx="1">
                  <c:v>2</c:v>
                </c:pt>
                <c:pt idx="2">
                  <c:v>1.5</c:v>
                </c:pt>
                <c:pt idx="3">
                  <c:v>0</c:v>
                </c:pt>
                <c:pt idx="4">
                  <c:v>0</c:v>
                </c:pt>
                <c:pt idx="5">
                  <c:v>3.5</c:v>
                </c:pt>
                <c:pt idx="6">
                  <c:v>6</c:v>
                </c:pt>
                <c:pt idx="7">
                  <c:v>2</c:v>
                </c:pt>
                <c:pt idx="8">
                  <c:v>3</c:v>
                </c:pt>
                <c:pt idx="9">
                  <c:v>0</c:v>
                </c:pt>
              </c:numCache>
            </c:numRef>
          </c:yVal>
          <c:bubbleSize>
            <c:numRef>
              <c:f>Calculation!$BH$17:$BH$26</c:f>
              <c:numCache>
                <c:formatCode>General</c:formatCode>
                <c:ptCount val="10"/>
                <c:pt idx="0">
                  <c:v>6.2021172068285545E-5</c:v>
                </c:pt>
                <c:pt idx="1">
                  <c:v>2.2560338140262654E-5</c:v>
                </c:pt>
                <c:pt idx="2">
                  <c:v>0.21333151570517209</c:v>
                </c:pt>
                <c:pt idx="3">
                  <c:v>0.36752653257707812</c:v>
                </c:pt>
                <c:pt idx="4">
                  <c:v>0.25090360191329752</c:v>
                </c:pt>
                <c:pt idx="5">
                  <c:v>1.6808672443917015E-3</c:v>
                </c:pt>
                <c:pt idx="6">
                  <c:v>1.1955310626935215E-11</c:v>
                </c:pt>
                <c:pt idx="7">
                  <c:v>2.2266655831984459E-7</c:v>
                </c:pt>
                <c:pt idx="8">
                  <c:v>1.3051449775407445E-2</c:v>
                </c:pt>
                <c:pt idx="9">
                  <c:v>7.6819430518352343E-5</c:v>
                </c:pt>
              </c:numCache>
            </c:numRef>
          </c:bubbleSize>
          <c:bubble3D val="0"/>
          <c:extLst>
            <c:ext xmlns:c16="http://schemas.microsoft.com/office/drawing/2014/chart" uri="{C3380CC4-5D6E-409C-BE32-E72D297353CC}">
              <c16:uniqueId val="{00000003-ECC5-4F42-9E2B-FBB9D3B28353}"/>
            </c:ext>
          </c:extLst>
        </c:ser>
        <c:ser>
          <c:idx val="3"/>
          <c:order val="4"/>
          <c:spPr>
            <a:solidFill>
              <a:srgbClr val="FFFFFF"/>
            </a:solidFill>
            <a:ln w="12700">
              <a:solidFill>
                <a:srgbClr val="000000"/>
              </a:solidFill>
              <a:prstDash val="solid"/>
            </a:ln>
          </c:spPr>
          <c:invertIfNegative val="1"/>
          <c:dPt>
            <c:idx val="0"/>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09-ECC5-4F42-9E2B-FBB9D3B28353}"/>
              </c:ext>
            </c:extLst>
          </c:dPt>
          <c:dPt>
            <c:idx val="1"/>
            <c:invertIfNegative val="1"/>
            <c:bubble3D val="0"/>
            <c:spPr>
              <a:solidFill>
                <a:srgbClr val="008000"/>
              </a:solidFill>
              <a:ln w="12700">
                <a:solidFill>
                  <a:srgbClr val="000000"/>
                </a:solidFill>
                <a:prstDash val="solid"/>
              </a:ln>
            </c:spPr>
            <c:extLst>
              <c:ext xmlns:c16="http://schemas.microsoft.com/office/drawing/2014/chart" uri="{C3380CC4-5D6E-409C-BE32-E72D297353CC}">
                <c16:uniqueId val="{00000007-ECC5-4F42-9E2B-FBB9D3B28353}"/>
              </c:ext>
            </c:extLst>
          </c:dPt>
          <c:dPt>
            <c:idx val="2"/>
            <c:invertIfNegative val="1"/>
            <c:bubble3D val="0"/>
            <c:spPr>
              <a:solidFill>
                <a:srgbClr val="0000FF"/>
              </a:solidFill>
              <a:ln w="12700">
                <a:solidFill>
                  <a:srgbClr val="000000"/>
                </a:solidFill>
                <a:prstDash val="solid"/>
              </a:ln>
            </c:spPr>
            <c:extLst>
              <c:ext xmlns:c16="http://schemas.microsoft.com/office/drawing/2014/chart" uri="{C3380CC4-5D6E-409C-BE32-E72D297353CC}">
                <c16:uniqueId val="{00000005-ECC5-4F42-9E2B-FBB9D3B28353}"/>
              </c:ext>
            </c:extLst>
          </c:dPt>
          <c:xVal>
            <c:numRef>
              <c:f>Calculation!$BE$7:$BE$9</c:f>
              <c:numCache>
                <c:formatCode>0.000</c:formatCode>
                <c:ptCount val="3"/>
                <c:pt idx="0">
                  <c:v>0.88172670429440347</c:v>
                </c:pt>
                <c:pt idx="1">
                  <c:v>5.1311161872385176</c:v>
                </c:pt>
                <c:pt idx="2">
                  <c:v>1.8360579104018708</c:v>
                </c:pt>
              </c:numCache>
            </c:numRef>
          </c:xVal>
          <c:yVal>
            <c:numRef>
              <c:f>Calculation!$BF$7:$BF$9</c:f>
              <c:numCache>
                <c:formatCode>0.000</c:formatCode>
                <c:ptCount val="3"/>
                <c:pt idx="0">
                  <c:v>0.38736790265458626</c:v>
                </c:pt>
                <c:pt idx="1">
                  <c:v>2.6815493179418546</c:v>
                </c:pt>
                <c:pt idx="2">
                  <c:v>3.2340967522600521</c:v>
                </c:pt>
              </c:numCache>
            </c:numRef>
          </c:yVal>
          <c:bubbleSize>
            <c:numRef>
              <c:f>Calculation!$BG$7:$BG$9</c:f>
              <c:numCache>
                <c:formatCode>0.000</c:formatCode>
                <c:ptCount val="3"/>
                <c:pt idx="0">
                  <c:v>1</c:v>
                </c:pt>
                <c:pt idx="1">
                  <c:v>1</c:v>
                </c:pt>
                <c:pt idx="2">
                  <c:v>1</c:v>
                </c:pt>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0A-ECC5-4F42-9E2B-FBB9D3B28353}"/>
            </c:ext>
          </c:extLst>
        </c:ser>
        <c:dLbls>
          <c:showLegendKey val="0"/>
          <c:showVal val="0"/>
          <c:showCatName val="0"/>
          <c:showSerName val="0"/>
          <c:showPercent val="0"/>
          <c:showBubbleSize val="0"/>
        </c:dLbls>
        <c:bubbleScale val="60"/>
        <c:showNegBubbles val="0"/>
        <c:axId val="439280328"/>
        <c:axId val="1"/>
      </c:bubbleChart>
      <c:valAx>
        <c:axId val="439280328"/>
        <c:scaling>
          <c:orientation val="minMax"/>
        </c:scaling>
        <c:delete val="1"/>
        <c:axPos val="b"/>
        <c:numFmt formatCode="General" sourceLinked="1"/>
        <c:majorTickMark val="out"/>
        <c:minorTickMark val="none"/>
        <c:tickLblPos val="nextTo"/>
        <c:crossAx val="1"/>
        <c:crosses val="autoZero"/>
        <c:crossBetween val="midCat"/>
      </c:valAx>
      <c:valAx>
        <c:axId val="1"/>
        <c:scaling>
          <c:orientation val="minMax"/>
        </c:scaling>
        <c:delete val="1"/>
        <c:axPos val="l"/>
        <c:numFmt formatCode="General" sourceLinked="1"/>
        <c:majorTickMark val="out"/>
        <c:minorTickMark val="none"/>
        <c:tickLblPos val="nextTo"/>
        <c:crossAx val="439280328"/>
        <c:crosses val="autoZero"/>
        <c:crossBetween val="midCat"/>
      </c:valAx>
      <c:spPr>
        <a:solidFill>
          <a:srgbClr val="969696"/>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76200</xdr:colOff>
      <xdr:row>16</xdr:row>
      <xdr:rowOff>53340</xdr:rowOff>
    </xdr:from>
    <xdr:to>
      <xdr:col>6</xdr:col>
      <xdr:colOff>220980</xdr:colOff>
      <xdr:row>38</xdr:row>
      <xdr:rowOff>60960</xdr:rowOff>
    </xdr:to>
    <xdr:graphicFrame macro="">
      <xdr:nvGraphicFramePr>
        <xdr:cNvPr id="14337" name="Chart 1">
          <a:extLst>
            <a:ext uri="{FF2B5EF4-FFF2-40B4-BE49-F238E27FC236}">
              <a16:creationId xmlns:a16="http://schemas.microsoft.com/office/drawing/2014/main" id="{00000000-0008-0000-0000-000001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419100</xdr:colOff>
      <xdr:row>16</xdr:row>
      <xdr:rowOff>53340</xdr:rowOff>
    </xdr:from>
    <xdr:to>
      <xdr:col>12</xdr:col>
      <xdr:colOff>289560</xdr:colOff>
      <xdr:row>38</xdr:row>
      <xdr:rowOff>45720</xdr:rowOff>
    </xdr:to>
    <xdr:graphicFrame macro="">
      <xdr:nvGraphicFramePr>
        <xdr:cNvPr id="14338" name="Chart 2">
          <a:extLst>
            <a:ext uri="{FF2B5EF4-FFF2-40B4-BE49-F238E27FC236}">
              <a16:creationId xmlns:a16="http://schemas.microsoft.com/office/drawing/2014/main" id="{00000000-0008-0000-0000-000002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175260</xdr:colOff>
          <xdr:row>16</xdr:row>
          <xdr:rowOff>53340</xdr:rowOff>
        </xdr:from>
        <xdr:to>
          <xdr:col>6</xdr:col>
          <xdr:colOff>502920</xdr:colOff>
          <xdr:row>37</xdr:row>
          <xdr:rowOff>99060</xdr:rowOff>
        </xdr:to>
        <xdr:sp macro="" textlink="">
          <xdr:nvSpPr>
            <xdr:cNvPr id="14341" name="ScrollBar1" hidden="1">
              <a:extLst>
                <a:ext uri="{63B3BB69-23CF-44E3-9099-C40C66FF867C}">
                  <a14:compatExt spid="_x0000_s14341"/>
                </a:ext>
                <a:ext uri="{FF2B5EF4-FFF2-40B4-BE49-F238E27FC236}">
                  <a16:creationId xmlns:a16="http://schemas.microsoft.com/office/drawing/2014/main" id="{00000000-0008-0000-0000-000005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388620</xdr:colOff>
      <xdr:row>27</xdr:row>
      <xdr:rowOff>121920</xdr:rowOff>
    </xdr:from>
    <xdr:to>
      <xdr:col>10</xdr:col>
      <xdr:colOff>792480</xdr:colOff>
      <xdr:row>51</xdr:row>
      <xdr:rowOff>0</xdr:rowOff>
    </xdr:to>
    <xdr:graphicFrame macro="">
      <xdr:nvGraphicFramePr>
        <xdr:cNvPr id="1027" name="Chart 3">
          <a:extLst>
            <a:ext uri="{FF2B5EF4-FFF2-40B4-BE49-F238E27FC236}">
              <a16:creationId xmlns:a16="http://schemas.microsoft.com/office/drawing/2014/main" id="{00000000-0008-0000-0100-000003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xdr:colOff>
      <xdr:row>27</xdr:row>
      <xdr:rowOff>121920</xdr:rowOff>
    </xdr:from>
    <xdr:to>
      <xdr:col>6</xdr:col>
      <xdr:colOff>251460</xdr:colOff>
      <xdr:row>51</xdr:row>
      <xdr:rowOff>0</xdr:rowOff>
    </xdr:to>
    <xdr:graphicFrame macro="">
      <xdr:nvGraphicFramePr>
        <xdr:cNvPr id="1028" name="Chart 4">
          <a:extLst>
            <a:ext uri="{FF2B5EF4-FFF2-40B4-BE49-F238E27FC236}">
              <a16:creationId xmlns:a16="http://schemas.microsoft.com/office/drawing/2014/main" id="{00000000-0008-0000-0100-00000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312420</xdr:colOff>
      <xdr:row>27</xdr:row>
      <xdr:rowOff>121920</xdr:rowOff>
    </xdr:from>
    <xdr:to>
      <xdr:col>21</xdr:col>
      <xdr:colOff>716280</xdr:colOff>
      <xdr:row>51</xdr:row>
      <xdr:rowOff>0</xdr:rowOff>
    </xdr:to>
    <xdr:graphicFrame macro="">
      <xdr:nvGraphicFramePr>
        <xdr:cNvPr id="1035" name="Chart 11">
          <a:extLst>
            <a:ext uri="{FF2B5EF4-FFF2-40B4-BE49-F238E27FC236}">
              <a16:creationId xmlns:a16="http://schemas.microsoft.com/office/drawing/2014/main" id="{00000000-0008-0000-0100-00000B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7620</xdr:colOff>
      <xdr:row>27</xdr:row>
      <xdr:rowOff>121920</xdr:rowOff>
    </xdr:from>
    <xdr:to>
      <xdr:col>17</xdr:col>
      <xdr:colOff>175260</xdr:colOff>
      <xdr:row>51</xdr:row>
      <xdr:rowOff>0</xdr:rowOff>
    </xdr:to>
    <xdr:graphicFrame macro="">
      <xdr:nvGraphicFramePr>
        <xdr:cNvPr id="1036" name="Chart 12">
          <a:extLst>
            <a:ext uri="{FF2B5EF4-FFF2-40B4-BE49-F238E27FC236}">
              <a16:creationId xmlns:a16="http://schemas.microsoft.com/office/drawing/2014/main" id="{00000000-0008-0000-0100-00000C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312420</xdr:colOff>
      <xdr:row>27</xdr:row>
      <xdr:rowOff>121920</xdr:rowOff>
    </xdr:from>
    <xdr:to>
      <xdr:col>32</xdr:col>
      <xdr:colOff>716280</xdr:colOff>
      <xdr:row>51</xdr:row>
      <xdr:rowOff>0</xdr:rowOff>
    </xdr:to>
    <xdr:graphicFrame macro="">
      <xdr:nvGraphicFramePr>
        <xdr:cNvPr id="1039" name="Chart 15">
          <a:extLst>
            <a:ext uri="{FF2B5EF4-FFF2-40B4-BE49-F238E27FC236}">
              <a16:creationId xmlns:a16="http://schemas.microsoft.com/office/drawing/2014/main" id="{00000000-0008-0000-0100-00000F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7620</xdr:colOff>
      <xdr:row>27</xdr:row>
      <xdr:rowOff>121920</xdr:rowOff>
    </xdr:from>
    <xdr:to>
      <xdr:col>28</xdr:col>
      <xdr:colOff>175260</xdr:colOff>
      <xdr:row>51</xdr:row>
      <xdr:rowOff>0</xdr:rowOff>
    </xdr:to>
    <xdr:graphicFrame macro="">
      <xdr:nvGraphicFramePr>
        <xdr:cNvPr id="1040" name="Chart 16">
          <a:extLst>
            <a:ext uri="{FF2B5EF4-FFF2-40B4-BE49-F238E27FC236}">
              <a16:creationId xmlns:a16="http://schemas.microsoft.com/office/drawing/2014/main" id="{00000000-0008-0000-0100-000010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39</xdr:col>
      <xdr:colOff>312420</xdr:colOff>
      <xdr:row>27</xdr:row>
      <xdr:rowOff>121920</xdr:rowOff>
    </xdr:from>
    <xdr:to>
      <xdr:col>43</xdr:col>
      <xdr:colOff>716280</xdr:colOff>
      <xdr:row>51</xdr:row>
      <xdr:rowOff>0</xdr:rowOff>
    </xdr:to>
    <xdr:graphicFrame macro="">
      <xdr:nvGraphicFramePr>
        <xdr:cNvPr id="1041" name="Chart 17">
          <a:extLst>
            <a:ext uri="{FF2B5EF4-FFF2-40B4-BE49-F238E27FC236}">
              <a16:creationId xmlns:a16="http://schemas.microsoft.com/office/drawing/2014/main" id="{00000000-0008-0000-0100-00001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34</xdr:col>
      <xdr:colOff>7620</xdr:colOff>
      <xdr:row>27</xdr:row>
      <xdr:rowOff>121920</xdr:rowOff>
    </xdr:from>
    <xdr:to>
      <xdr:col>39</xdr:col>
      <xdr:colOff>175260</xdr:colOff>
      <xdr:row>51</xdr:row>
      <xdr:rowOff>0</xdr:rowOff>
    </xdr:to>
    <xdr:graphicFrame macro="">
      <xdr:nvGraphicFramePr>
        <xdr:cNvPr id="1042" name="Chart 18">
          <a:extLst>
            <a:ext uri="{FF2B5EF4-FFF2-40B4-BE49-F238E27FC236}">
              <a16:creationId xmlns:a16="http://schemas.microsoft.com/office/drawing/2014/main" id="{00000000-0008-0000-0100-00001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50</xdr:col>
      <xdr:colOff>312420</xdr:colOff>
      <xdr:row>27</xdr:row>
      <xdr:rowOff>121920</xdr:rowOff>
    </xdr:from>
    <xdr:to>
      <xdr:col>54</xdr:col>
      <xdr:colOff>716280</xdr:colOff>
      <xdr:row>51</xdr:row>
      <xdr:rowOff>0</xdr:rowOff>
    </xdr:to>
    <xdr:graphicFrame macro="">
      <xdr:nvGraphicFramePr>
        <xdr:cNvPr id="1043" name="Chart 19">
          <a:extLst>
            <a:ext uri="{FF2B5EF4-FFF2-40B4-BE49-F238E27FC236}">
              <a16:creationId xmlns:a16="http://schemas.microsoft.com/office/drawing/2014/main" id="{00000000-0008-0000-0100-000013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45</xdr:col>
      <xdr:colOff>7620</xdr:colOff>
      <xdr:row>27</xdr:row>
      <xdr:rowOff>121920</xdr:rowOff>
    </xdr:from>
    <xdr:to>
      <xdr:col>50</xdr:col>
      <xdr:colOff>175260</xdr:colOff>
      <xdr:row>51</xdr:row>
      <xdr:rowOff>0</xdr:rowOff>
    </xdr:to>
    <xdr:graphicFrame macro="">
      <xdr:nvGraphicFramePr>
        <xdr:cNvPr id="1044" name="Chart 20">
          <a:extLst>
            <a:ext uri="{FF2B5EF4-FFF2-40B4-BE49-F238E27FC236}">
              <a16:creationId xmlns:a16="http://schemas.microsoft.com/office/drawing/2014/main" id="{00000000-0008-0000-0100-00001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61</xdr:col>
      <xdr:colOff>312420</xdr:colOff>
      <xdr:row>27</xdr:row>
      <xdr:rowOff>121920</xdr:rowOff>
    </xdr:from>
    <xdr:to>
      <xdr:col>65</xdr:col>
      <xdr:colOff>716280</xdr:colOff>
      <xdr:row>51</xdr:row>
      <xdr:rowOff>0</xdr:rowOff>
    </xdr:to>
    <xdr:graphicFrame macro="">
      <xdr:nvGraphicFramePr>
        <xdr:cNvPr id="1045" name="Chart 21">
          <a:extLst>
            <a:ext uri="{FF2B5EF4-FFF2-40B4-BE49-F238E27FC236}">
              <a16:creationId xmlns:a16="http://schemas.microsoft.com/office/drawing/2014/main" id="{00000000-0008-0000-0100-000015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56</xdr:col>
      <xdr:colOff>7620</xdr:colOff>
      <xdr:row>27</xdr:row>
      <xdr:rowOff>121920</xdr:rowOff>
    </xdr:from>
    <xdr:to>
      <xdr:col>61</xdr:col>
      <xdr:colOff>175260</xdr:colOff>
      <xdr:row>51</xdr:row>
      <xdr:rowOff>0</xdr:rowOff>
    </xdr:to>
    <xdr:graphicFrame macro="">
      <xdr:nvGraphicFramePr>
        <xdr:cNvPr id="1046" name="Chart 22">
          <a:extLst>
            <a:ext uri="{FF2B5EF4-FFF2-40B4-BE49-F238E27FC236}">
              <a16:creationId xmlns:a16="http://schemas.microsoft.com/office/drawing/2014/main" id="{00000000-0008-0000-0100-00001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75"/>
  <sheetViews>
    <sheetView tabSelected="1" workbookViewId="0">
      <selection sqref="A1:K2"/>
    </sheetView>
  </sheetViews>
  <sheetFormatPr defaultRowHeight="13.2" x14ac:dyDescent="0.25"/>
  <cols>
    <col min="12" max="12" width="10.109375" bestFit="1" customWidth="1"/>
    <col min="16" max="18" width="11.6640625" customWidth="1"/>
  </cols>
  <sheetData>
    <row r="1" spans="1:15" x14ac:dyDescent="0.25">
      <c r="A1" s="64" t="s">
        <v>21</v>
      </c>
      <c r="B1" s="65"/>
      <c r="C1" s="65"/>
      <c r="D1" s="65"/>
      <c r="E1" s="65"/>
      <c r="F1" s="65"/>
      <c r="G1" s="65"/>
      <c r="H1" s="65"/>
      <c r="I1" s="65"/>
      <c r="J1" s="65"/>
      <c r="K1" s="65"/>
    </row>
    <row r="2" spans="1:15" x14ac:dyDescent="0.25">
      <c r="A2" s="65"/>
      <c r="B2" s="65"/>
      <c r="C2" s="65"/>
      <c r="D2" s="65"/>
      <c r="E2" s="65"/>
      <c r="F2" s="65"/>
      <c r="G2" s="65"/>
      <c r="H2" s="65"/>
      <c r="I2" s="65"/>
      <c r="J2" s="65"/>
      <c r="K2" s="65"/>
    </row>
    <row r="3" spans="1:15" x14ac:dyDescent="0.25">
      <c r="A3" s="66" t="s">
        <v>28</v>
      </c>
      <c r="B3" s="67"/>
      <c r="C3" s="67"/>
      <c r="D3" s="67"/>
      <c r="E3" s="67"/>
      <c r="F3" s="67"/>
      <c r="G3" s="67"/>
      <c r="H3" s="67"/>
      <c r="I3" s="67"/>
      <c r="J3" s="67"/>
      <c r="K3" s="67"/>
    </row>
    <row r="4" spans="1:15" x14ac:dyDescent="0.25">
      <c r="A4" s="67"/>
      <c r="B4" s="67"/>
      <c r="C4" s="67"/>
      <c r="D4" s="67"/>
      <c r="E4" s="67"/>
      <c r="F4" s="67"/>
      <c r="G4" s="67"/>
      <c r="H4" s="67"/>
      <c r="I4" s="67"/>
      <c r="J4" s="67"/>
      <c r="K4" s="67"/>
    </row>
    <row r="5" spans="1:15" x14ac:dyDescent="0.25">
      <c r="A5" s="74" t="s">
        <v>45</v>
      </c>
      <c r="B5" s="67"/>
      <c r="C5" s="67"/>
      <c r="D5" s="67"/>
      <c r="E5" s="67"/>
      <c r="F5" s="67"/>
      <c r="G5" s="67"/>
      <c r="H5" s="67"/>
      <c r="I5" s="67"/>
      <c r="J5" s="67"/>
      <c r="K5" s="67"/>
    </row>
    <row r="6" spans="1:15" x14ac:dyDescent="0.25">
      <c r="A6" s="74" t="s">
        <v>43</v>
      </c>
      <c r="B6" s="67"/>
      <c r="C6" s="67"/>
      <c r="D6" s="67"/>
      <c r="E6" s="67"/>
      <c r="F6" s="67"/>
      <c r="G6" s="67"/>
      <c r="H6" s="67"/>
      <c r="I6" s="67"/>
      <c r="J6" s="67"/>
      <c r="K6" s="67"/>
    </row>
    <row r="7" spans="1:15" x14ac:dyDescent="0.25">
      <c r="A7" s="48"/>
      <c r="B7" s="37"/>
      <c r="C7" s="37"/>
      <c r="D7" s="37"/>
      <c r="E7" s="37"/>
      <c r="F7" s="37"/>
      <c r="G7" s="37"/>
      <c r="H7" s="37"/>
      <c r="I7" s="37"/>
      <c r="J7" s="37"/>
      <c r="K7" s="37"/>
    </row>
    <row r="8" spans="1:15" ht="15.6" x14ac:dyDescent="0.3">
      <c r="B8" s="12" t="s">
        <v>38</v>
      </c>
    </row>
    <row r="9" spans="1:15" ht="13.8" thickBot="1" x14ac:dyDescent="0.3">
      <c r="B9" s="2"/>
      <c r="C9" s="8" t="s">
        <v>0</v>
      </c>
      <c r="D9" s="8" t="s">
        <v>1</v>
      </c>
      <c r="E9" s="8" t="s">
        <v>26</v>
      </c>
      <c r="F9" s="77" t="s">
        <v>27</v>
      </c>
      <c r="G9" s="78"/>
    </row>
    <row r="10" spans="1:15" ht="13.8" thickTop="1" x14ac:dyDescent="0.25">
      <c r="B10" s="3" t="s">
        <v>34</v>
      </c>
      <c r="C10" s="60">
        <v>2</v>
      </c>
      <c r="D10" s="60">
        <v>1</v>
      </c>
      <c r="E10" s="60">
        <v>1</v>
      </c>
      <c r="F10" s="41" t="b">
        <v>0</v>
      </c>
      <c r="G10" s="56" t="s">
        <v>32</v>
      </c>
    </row>
    <row r="11" spans="1:15" x14ac:dyDescent="0.25">
      <c r="B11" s="4" t="s">
        <v>2</v>
      </c>
      <c r="C11" s="5">
        <v>2</v>
      </c>
      <c r="D11" s="5">
        <v>2</v>
      </c>
      <c r="E11" s="5">
        <f>E10</f>
        <v>1</v>
      </c>
      <c r="F11" s="2"/>
      <c r="G11" s="29"/>
      <c r="H11" s="28"/>
      <c r="I11" s="28"/>
      <c r="J11" s="28"/>
      <c r="K11" s="28"/>
    </row>
    <row r="12" spans="1:15" ht="13.8" thickBot="1" x14ac:dyDescent="0.3">
      <c r="B12" s="6" t="s">
        <v>3</v>
      </c>
      <c r="C12" s="61">
        <v>-1</v>
      </c>
      <c r="D12" s="61">
        <v>5</v>
      </c>
      <c r="E12" s="61">
        <f>E10</f>
        <v>1</v>
      </c>
      <c r="F12" s="42"/>
      <c r="G12" s="29"/>
      <c r="H12" s="30"/>
    </row>
    <row r="13" spans="1:15" ht="13.8" thickTop="1" x14ac:dyDescent="0.25">
      <c r="C13" s="5"/>
      <c r="D13" s="5"/>
      <c r="E13" s="5"/>
      <c r="F13" s="2"/>
      <c r="G13" s="29"/>
      <c r="H13" s="30"/>
    </row>
    <row r="14" spans="1:15" ht="13.5" customHeight="1" x14ac:dyDescent="0.25">
      <c r="A14" s="72" t="s">
        <v>46</v>
      </c>
      <c r="B14" s="72"/>
      <c r="C14" s="72"/>
      <c r="D14" s="68" t="s">
        <v>33</v>
      </c>
      <c r="E14" s="69"/>
      <c r="F14" s="69"/>
      <c r="G14" s="70">
        <v>0</v>
      </c>
      <c r="H14" s="72" t="s">
        <v>39</v>
      </c>
      <c r="I14" s="73"/>
      <c r="J14" s="73"/>
      <c r="K14" s="73"/>
      <c r="L14" s="73"/>
      <c r="M14" s="73"/>
      <c r="N14" s="73"/>
      <c r="O14" s="73"/>
    </row>
    <row r="15" spans="1:15" ht="12.75" customHeight="1" x14ac:dyDescent="0.25">
      <c r="A15" s="72"/>
      <c r="B15" s="72"/>
      <c r="C15" s="72"/>
      <c r="D15" s="69"/>
      <c r="E15" s="69"/>
      <c r="F15" s="69"/>
      <c r="G15" s="71"/>
      <c r="H15" s="73"/>
      <c r="I15" s="73"/>
      <c r="J15" s="73"/>
      <c r="K15" s="73"/>
      <c r="L15" s="73"/>
      <c r="M15" s="73"/>
      <c r="N15" s="73"/>
      <c r="O15" s="73"/>
    </row>
    <row r="16" spans="1:15" x14ac:dyDescent="0.25">
      <c r="A16" s="72"/>
      <c r="B16" s="72"/>
      <c r="C16" s="72"/>
      <c r="D16" s="69"/>
      <c r="E16" s="69"/>
      <c r="F16" s="69"/>
      <c r="G16" s="71"/>
      <c r="H16" s="73"/>
      <c r="I16" s="73"/>
      <c r="J16" s="73"/>
      <c r="K16" s="73"/>
      <c r="L16" s="73"/>
      <c r="M16" s="73"/>
      <c r="N16" s="73"/>
      <c r="O16" s="73"/>
    </row>
    <row r="17" spans="14:20" ht="15.6" x14ac:dyDescent="0.3">
      <c r="N17" s="12" t="s">
        <v>9</v>
      </c>
      <c r="O17" s="13"/>
      <c r="P17" s="31" t="s">
        <v>47</v>
      </c>
      <c r="Q17" s="31"/>
      <c r="R17" s="31"/>
      <c r="S17" s="31"/>
    </row>
    <row r="18" spans="14:20" x14ac:dyDescent="0.25">
      <c r="N18" s="9" t="s">
        <v>0</v>
      </c>
      <c r="O18" s="9" t="s">
        <v>1</v>
      </c>
      <c r="P18" s="18" t="s">
        <v>14</v>
      </c>
      <c r="Q18" s="1" t="s">
        <v>17</v>
      </c>
      <c r="R18" s="1" t="s">
        <v>18</v>
      </c>
    </row>
    <row r="19" spans="14:20" x14ac:dyDescent="0.25">
      <c r="N19" s="7">
        <v>3</v>
      </c>
      <c r="O19" s="7">
        <v>4</v>
      </c>
      <c r="P19" s="20">
        <f ca="1">OFFSET(Calculation!I17,0,$G$14*11)</f>
        <v>7.5684807429077489E-2</v>
      </c>
      <c r="Q19" s="38">
        <f ca="1">OFFSET(Calculation!J17,0,$G$14*11)</f>
        <v>0.92202970942174223</v>
      </c>
      <c r="R19" s="38">
        <f ca="1">OFFSET(Calculation!K17,0,$G$14*11)</f>
        <v>2.2854831491801947E-3</v>
      </c>
    </row>
    <row r="20" spans="14:20" x14ac:dyDescent="0.25">
      <c r="N20" s="7">
        <v>5</v>
      </c>
      <c r="O20" s="7">
        <v>2</v>
      </c>
      <c r="P20" s="20">
        <f ca="1">OFFSET(Calculation!I18,0,$G$14*11)</f>
        <v>0.3775406652190435</v>
      </c>
      <c r="Q20" s="38">
        <f ca="1">OFFSET(Calculation!J18,0,$G$14*11)</f>
        <v>0.62245932530091364</v>
      </c>
      <c r="R20" s="38">
        <f ca="1">OFFSET(Calculation!K18,0,$G$14*11)</f>
        <v>9.4800429162403711E-9</v>
      </c>
      <c r="T20" s="40"/>
    </row>
    <row r="21" spans="14:20" x14ac:dyDescent="0.25">
      <c r="N21" s="7">
        <v>1</v>
      </c>
      <c r="O21" s="7">
        <v>1.5</v>
      </c>
      <c r="P21" s="20">
        <f ca="1">OFFSET(Calculation!I19,0,$G$14*11)</f>
        <v>0.49986176713468167</v>
      </c>
      <c r="Q21" s="38">
        <f ca="1">OFFSET(Calculation!J19,0,$G$14*11)</f>
        <v>0.49986176713468167</v>
      </c>
      <c r="R21" s="38">
        <f ca="1">OFFSET(Calculation!K19,0,$G$14*11)</f>
        <v>2.7646573063666899E-4</v>
      </c>
      <c r="T21" s="24"/>
    </row>
    <row r="22" spans="14:20" x14ac:dyDescent="0.25">
      <c r="N22" s="7">
        <v>1</v>
      </c>
      <c r="O22" s="7">
        <v>0</v>
      </c>
      <c r="P22" s="20">
        <f ca="1">OFFSET(Calculation!I20,0,$G$14*11)</f>
        <v>0.81757355980719759</v>
      </c>
      <c r="Q22" s="38">
        <f ca="1">OFFSET(Calculation!J20,0,$G$14*11)</f>
        <v>0.18242531933290182</v>
      </c>
      <c r="R22" s="38">
        <f ca="1">OFFSET(Calculation!K20,0,$G$14*11)</f>
        <v>1.1208599006050614E-6</v>
      </c>
      <c r="T22" s="24"/>
    </row>
    <row r="23" spans="14:20" x14ac:dyDescent="0.25">
      <c r="N23" s="7">
        <v>0</v>
      </c>
      <c r="O23" s="7">
        <v>0</v>
      </c>
      <c r="P23" s="20">
        <f ca="1">OFFSET(Calculation!I21,0,$G$14*11)</f>
        <v>0.81755607047358336</v>
      </c>
      <c r="Q23" s="38">
        <f ca="1">OFFSET(Calculation!J21,0,$G$14*11)</f>
        <v>0.18242141693509159</v>
      </c>
      <c r="R23" s="38">
        <f ca="1">OFFSET(Calculation!K21,0,$G$14*11)</f>
        <v>2.2512591325174201E-5</v>
      </c>
      <c r="T23" s="24"/>
    </row>
    <row r="24" spans="14:20" x14ac:dyDescent="0.25">
      <c r="N24" s="7">
        <v>2</v>
      </c>
      <c r="O24" s="7">
        <v>3.5</v>
      </c>
      <c r="P24" s="20">
        <f ca="1">OFFSET(Calculation!I22,0,$G$14*11)</f>
        <v>0.11804785075397697</v>
      </c>
      <c r="Q24" s="38">
        <f ca="1">OFFSET(Calculation!J22,0,$G$14*11)</f>
        <v>0.87226219157932872</v>
      </c>
      <c r="R24" s="38">
        <f ca="1">OFFSET(Calculation!K22,0,$G$14*11)</f>
        <v>9.6899576666944019E-3</v>
      </c>
      <c r="T24" s="24"/>
    </row>
    <row r="25" spans="14:20" x14ac:dyDescent="0.25">
      <c r="N25" s="7">
        <v>5</v>
      </c>
      <c r="O25" s="7">
        <v>6</v>
      </c>
      <c r="P25" s="20">
        <f ca="1">OFFSET(Calculation!I23,0,$G$14*11)</f>
        <v>1.0960073809423017E-2</v>
      </c>
      <c r="Q25" s="38">
        <f ca="1">OFFSET(Calculation!J23,0,$G$14*11)</f>
        <v>0.98659440316624181</v>
      </c>
      <c r="R25" s="38">
        <f ca="1">OFFSET(Calculation!K23,0,$G$14*11)</f>
        <v>2.4455230243351773E-3</v>
      </c>
      <c r="T25" s="24"/>
    </row>
    <row r="26" spans="14:20" x14ac:dyDescent="0.25">
      <c r="N26" s="7">
        <v>6</v>
      </c>
      <c r="O26" s="7">
        <v>2</v>
      </c>
      <c r="P26" s="20">
        <f ca="1">OFFSET(Calculation!I24,0,$G$14*11)</f>
        <v>0.37754066861995245</v>
      </c>
      <c r="Q26" s="38">
        <f ca="1">OFFSET(Calculation!J24,0,$G$14*11)</f>
        <v>0.62245933090806405</v>
      </c>
      <c r="R26" s="38">
        <f ca="1">OFFSET(Calculation!K24,0,$G$14*11)</f>
        <v>4.7198354905279915E-10</v>
      </c>
      <c r="T26" s="24"/>
    </row>
    <row r="27" spans="14:20" x14ac:dyDescent="0.25">
      <c r="N27" s="7">
        <v>1</v>
      </c>
      <c r="O27" s="7">
        <v>3</v>
      </c>
      <c r="P27" s="20">
        <f ca="1">OFFSET(Calculation!I25,0,$G$14*11)</f>
        <v>0.17529039214003667</v>
      </c>
      <c r="Q27" s="38">
        <f ca="1">OFFSET(Calculation!J25,0,$G$14*11)</f>
        <v>0.78559703458927599</v>
      </c>
      <c r="R27" s="38">
        <f ca="1">OFFSET(Calculation!K25,0,$G$14*11)</f>
        <v>3.9112573270687429E-2</v>
      </c>
      <c r="T27" s="24"/>
    </row>
    <row r="28" spans="14:20" x14ac:dyDescent="0.25">
      <c r="N28" s="7">
        <v>5</v>
      </c>
      <c r="O28" s="7">
        <v>0</v>
      </c>
      <c r="P28" s="20">
        <f ca="1">OFFSET(Calculation!I26,0,$G$14*11)</f>
        <v>0.81757447618801293</v>
      </c>
      <c r="Q28" s="38">
        <f ca="1">OFFSET(Calculation!J26,0,$G$14*11)</f>
        <v>0.18242552380510027</v>
      </c>
      <c r="R28" s="38">
        <f ca="1">OFFSET(Calculation!K26,0,$G$14*11)</f>
        <v>6.8868089667484473E-12</v>
      </c>
      <c r="T28" s="24"/>
    </row>
    <row r="29" spans="14:20" x14ac:dyDescent="0.25">
      <c r="Q29" s="39"/>
      <c r="R29" s="39"/>
      <c r="T29" s="24"/>
    </row>
    <row r="30" spans="14:20" x14ac:dyDescent="0.25">
      <c r="T30" s="24"/>
    </row>
    <row r="31" spans="14:20" x14ac:dyDescent="0.25">
      <c r="T31" s="24"/>
    </row>
    <row r="32" spans="14:20" x14ac:dyDescent="0.25">
      <c r="T32" s="24"/>
    </row>
    <row r="33" spans="1:20" x14ac:dyDescent="0.25">
      <c r="T33" s="24"/>
    </row>
    <row r="37" spans="1:20" x14ac:dyDescent="0.25">
      <c r="D37" s="2"/>
      <c r="G37" s="2"/>
      <c r="H37" s="2"/>
      <c r="I37" s="2"/>
      <c r="J37" s="2"/>
      <c r="K37" s="2"/>
    </row>
    <row r="40" spans="1:20" x14ac:dyDescent="0.25">
      <c r="A40" s="75" t="s">
        <v>40</v>
      </c>
      <c r="B40" s="76"/>
      <c r="C40" s="76"/>
      <c r="D40" s="76"/>
      <c r="E40" s="76"/>
      <c r="F40" s="76"/>
      <c r="G40" s="76"/>
      <c r="H40" s="76"/>
    </row>
    <row r="41" spans="1:20" x14ac:dyDescent="0.25">
      <c r="A41" s="76"/>
      <c r="B41" s="76"/>
      <c r="C41" s="76"/>
      <c r="D41" s="76"/>
      <c r="E41" s="76"/>
      <c r="F41" s="76"/>
      <c r="G41" s="76"/>
      <c r="H41" s="76"/>
    </row>
    <row r="42" spans="1:20" x14ac:dyDescent="0.25">
      <c r="A42" s="72" t="s">
        <v>41</v>
      </c>
      <c r="B42" s="76"/>
      <c r="C42" s="76"/>
      <c r="D42" s="76"/>
      <c r="E42" s="76"/>
      <c r="F42" s="76"/>
      <c r="G42" s="76"/>
      <c r="H42" s="76"/>
    </row>
    <row r="43" spans="1:20" x14ac:dyDescent="0.25">
      <c r="A43" s="76"/>
      <c r="B43" s="76"/>
      <c r="C43" s="76"/>
      <c r="D43" s="76"/>
      <c r="E43" s="76"/>
      <c r="F43" s="76"/>
      <c r="G43" s="76"/>
      <c r="H43" s="76"/>
    </row>
    <row r="44" spans="1:20" x14ac:dyDescent="0.25">
      <c r="A44" s="76"/>
      <c r="B44" s="76"/>
      <c r="C44" s="76"/>
      <c r="D44" s="76"/>
      <c r="E44" s="76"/>
      <c r="F44" s="76"/>
      <c r="G44" s="76"/>
      <c r="H44" s="76"/>
    </row>
    <row r="46" spans="1:20" ht="15.6" x14ac:dyDescent="0.3">
      <c r="B46" s="53" t="s">
        <v>36</v>
      </c>
      <c r="C46" s="32"/>
      <c r="D46" s="32"/>
      <c r="E46" s="32"/>
      <c r="G46" s="54" t="s">
        <v>37</v>
      </c>
      <c r="H46" s="55"/>
      <c r="I46" s="55"/>
      <c r="J46" s="55"/>
    </row>
    <row r="47" spans="1:20" ht="13.8" thickBot="1" x14ac:dyDescent="0.3">
      <c r="B47" s="2"/>
      <c r="C47" s="8" t="s">
        <v>0</v>
      </c>
      <c r="D47" s="8" t="s">
        <v>1</v>
      </c>
      <c r="E47" s="8" t="s">
        <v>26</v>
      </c>
      <c r="G47" s="2"/>
      <c r="H47" s="8" t="s">
        <v>0</v>
      </c>
      <c r="I47" s="8" t="s">
        <v>1</v>
      </c>
      <c r="J47" s="8" t="s">
        <v>26</v>
      </c>
    </row>
    <row r="48" spans="1:20" ht="13.8" thickTop="1" x14ac:dyDescent="0.25">
      <c r="B48" s="3" t="s">
        <v>34</v>
      </c>
      <c r="C48" s="57">
        <f ca="1">OFFSET(C55,$G$14,0)</f>
        <v>2</v>
      </c>
      <c r="D48" s="57">
        <f ca="1">OFFSET(D55,$G$14,0)</f>
        <v>1</v>
      </c>
      <c r="E48" s="57">
        <f ca="1">OFFSET(E55,$G$14,0)</f>
        <v>1</v>
      </c>
      <c r="G48" s="3" t="s">
        <v>34</v>
      </c>
      <c r="H48" s="57">
        <f>Calculation!HN7</f>
        <v>0.76880911919303829</v>
      </c>
      <c r="I48" s="57">
        <f>Calculation!HO7</f>
        <v>1.1087223363005023</v>
      </c>
      <c r="J48" s="57">
        <f>Calculation!HP7</f>
        <v>1</v>
      </c>
    </row>
    <row r="49" spans="2:11" x14ac:dyDescent="0.25">
      <c r="B49" s="4" t="s">
        <v>2</v>
      </c>
      <c r="C49" s="58">
        <f ca="1">OFFSET(F55,$G$14,0)</f>
        <v>2</v>
      </c>
      <c r="D49" s="58">
        <f ca="1">OFFSET(G55,$G$14,0)</f>
        <v>2</v>
      </c>
      <c r="E49" s="58">
        <f ca="1">OFFSET(H55,$G$14,0)</f>
        <v>1</v>
      </c>
      <c r="G49" s="4" t="s">
        <v>2</v>
      </c>
      <c r="H49" s="58">
        <f>Calculation!HN8</f>
        <v>5.3311710873039564</v>
      </c>
      <c r="I49" s="58">
        <f>Calculation!HO8</f>
        <v>1.3329229818827504</v>
      </c>
      <c r="J49" s="58">
        <f>Calculation!HP8</f>
        <v>1</v>
      </c>
    </row>
    <row r="50" spans="2:11" ht="13.8" thickBot="1" x14ac:dyDescent="0.3">
      <c r="B50" s="6" t="s">
        <v>3</v>
      </c>
      <c r="C50" s="59">
        <f ca="1">OFFSET(I55,$G$14,0)</f>
        <v>-1</v>
      </c>
      <c r="D50" s="59">
        <f ca="1">OFFSET(J55,$G$14,0)</f>
        <v>5</v>
      </c>
      <c r="E50" s="59">
        <f ca="1">OFFSET(K55,$G$14,0)</f>
        <v>1</v>
      </c>
      <c r="G50" s="6" t="s">
        <v>3</v>
      </c>
      <c r="H50" s="59">
        <f>Calculation!HN9</f>
        <v>3.2707617309702215</v>
      </c>
      <c r="I50" s="59">
        <f>Calculation!HO9</f>
        <v>4.4437520092340739</v>
      </c>
      <c r="J50" s="59">
        <f>Calculation!HP9</f>
        <v>1</v>
      </c>
    </row>
    <row r="51" spans="2:11" ht="13.8" thickTop="1" x14ac:dyDescent="0.25"/>
    <row r="52" spans="2:11" ht="12.75" customHeight="1" x14ac:dyDescent="0.3">
      <c r="B52" s="50" t="s">
        <v>35</v>
      </c>
      <c r="C52" s="51"/>
      <c r="D52" s="51"/>
      <c r="E52" s="51"/>
      <c r="F52" s="51"/>
      <c r="G52" s="51"/>
      <c r="H52" s="51"/>
      <c r="I52" s="51"/>
      <c r="J52" s="51"/>
      <c r="K52" s="51"/>
    </row>
    <row r="53" spans="2:11" ht="12.75" customHeight="1" x14ac:dyDescent="0.3">
      <c r="B53" s="51"/>
      <c r="C53" s="52" t="s">
        <v>34</v>
      </c>
      <c r="D53" s="51"/>
      <c r="E53" s="51"/>
      <c r="F53" s="52" t="s">
        <v>2</v>
      </c>
      <c r="G53" s="51"/>
      <c r="H53" s="51"/>
      <c r="I53" s="52" t="s">
        <v>3</v>
      </c>
      <c r="J53" s="51"/>
      <c r="K53" s="51"/>
    </row>
    <row r="54" spans="2:11" ht="12.75" customHeight="1" thickBot="1" x14ac:dyDescent="0.3">
      <c r="B54" s="33" t="s">
        <v>24</v>
      </c>
      <c r="C54" s="46" t="s">
        <v>0</v>
      </c>
      <c r="D54" s="8" t="s">
        <v>1</v>
      </c>
      <c r="E54" s="8" t="s">
        <v>26</v>
      </c>
      <c r="F54" s="46" t="s">
        <v>0</v>
      </c>
      <c r="G54" s="8" t="s">
        <v>1</v>
      </c>
      <c r="H54" s="8" t="s">
        <v>26</v>
      </c>
      <c r="I54" s="46" t="s">
        <v>0</v>
      </c>
      <c r="J54" s="8" t="s">
        <v>1</v>
      </c>
      <c r="K54" s="8" t="s">
        <v>26</v>
      </c>
    </row>
    <row r="55" spans="2:11" ht="13.8" thickTop="1" x14ac:dyDescent="0.25">
      <c r="B55" s="47">
        <v>0</v>
      </c>
      <c r="C55" s="62">
        <f ca="1">OFFSET(Calculation!B$7,0,11*$B55)</f>
        <v>2</v>
      </c>
      <c r="D55" s="57">
        <f ca="1">OFFSET(Calculation!C$7,0,11*$B55)</f>
        <v>1</v>
      </c>
      <c r="E55" s="57">
        <f ca="1">OFFSET(Calculation!D$7,0,11*$B55)</f>
        <v>1</v>
      </c>
      <c r="F55" s="62">
        <f ca="1">OFFSET(Calculation!B$8,0,11*$B55)</f>
        <v>2</v>
      </c>
      <c r="G55" s="57">
        <f ca="1">OFFSET(Calculation!C$8,0,11*$B55)</f>
        <v>2</v>
      </c>
      <c r="H55" s="57">
        <f ca="1">OFFSET(Calculation!D$8,0,11*$B55)</f>
        <v>1</v>
      </c>
      <c r="I55" s="62">
        <f ca="1">OFFSET(Calculation!B$9,0,11*$B55)</f>
        <v>-1</v>
      </c>
      <c r="J55" s="57">
        <f ca="1">OFFSET(Calculation!C$9,0,11*$B55)</f>
        <v>5</v>
      </c>
      <c r="K55" s="57">
        <f ca="1">OFFSET(Calculation!D$9,0,11*$B55)</f>
        <v>1</v>
      </c>
    </row>
    <row r="56" spans="2:11" x14ac:dyDescent="0.25">
      <c r="B56" s="49">
        <f>1+B55</f>
        <v>1</v>
      </c>
      <c r="C56" s="63">
        <f ca="1">OFFSET(Calculation!B$7,0,11*$B56)</f>
        <v>2.5079312704701593</v>
      </c>
      <c r="D56" s="58">
        <f ca="1">OFFSET(Calculation!C$7,0,11*$B56)</f>
        <v>0.87275349178586747</v>
      </c>
      <c r="E56" s="58">
        <f ca="1">OFFSET(Calculation!D$7,0,11*$B56)</f>
        <v>1</v>
      </c>
      <c r="F56" s="63">
        <f ca="1">OFFSET(Calculation!B$8,0,11*$B56)</f>
        <v>3.1869138994154644</v>
      </c>
      <c r="G56" s="58">
        <f ca="1">OFFSET(Calculation!C$8,0,11*$B56)</f>
        <v>3.1163116391195405</v>
      </c>
      <c r="H56" s="58">
        <f ca="1">OFFSET(Calculation!D$8,0,11*$B56)</f>
        <v>1</v>
      </c>
      <c r="I56" s="63">
        <f ca="1">OFFSET(Calculation!B$9,0,11*$B56)</f>
        <v>1.446199457982293</v>
      </c>
      <c r="J56" s="58">
        <f ca="1">OFFSET(Calculation!C$9,0,11*$B56)</f>
        <v>3.2597153101584531</v>
      </c>
      <c r="K56" s="58">
        <f ca="1">OFFSET(Calculation!D$9,0,11*$B56)</f>
        <v>1</v>
      </c>
    </row>
    <row r="57" spans="2:11" x14ac:dyDescent="0.25">
      <c r="B57" s="49">
        <f t="shared" ref="B57:B65" si="0">1+B56</f>
        <v>2</v>
      </c>
      <c r="C57" s="63">
        <f ca="1">OFFSET(Calculation!B$7,0,11*$B57)</f>
        <v>2.1042166392897266</v>
      </c>
      <c r="D57" s="58">
        <f ca="1">OFFSET(Calculation!C$7,0,11*$B57)</f>
        <v>0.42531983358738612</v>
      </c>
      <c r="E57" s="58">
        <f ca="1">OFFSET(Calculation!D$7,0,11*$B57)</f>
        <v>1</v>
      </c>
      <c r="F57" s="63">
        <f ca="1">OFFSET(Calculation!B$8,0,11*$B57)</f>
        <v>4.4413368173452668</v>
      </c>
      <c r="G57" s="58">
        <f ca="1">OFFSET(Calculation!C$8,0,11*$B57)</f>
        <v>3.4877476489990173</v>
      </c>
      <c r="H57" s="58">
        <f ca="1">OFFSET(Calculation!D$8,0,11*$B57)</f>
        <v>1</v>
      </c>
      <c r="I57" s="63">
        <f ca="1">OFFSET(Calculation!B$9,0,11*$B57)</f>
        <v>1.5181560023234819</v>
      </c>
      <c r="J57" s="58">
        <f ca="1">OFFSET(Calculation!C$9,0,11*$B57)</f>
        <v>2.9002434908244417</v>
      </c>
      <c r="K57" s="58">
        <f ca="1">OFFSET(Calculation!D$9,0,11*$B57)</f>
        <v>1</v>
      </c>
    </row>
    <row r="58" spans="2:11" x14ac:dyDescent="0.25">
      <c r="B58" s="49">
        <f t="shared" si="0"/>
        <v>3</v>
      </c>
      <c r="C58" s="63">
        <f ca="1">OFFSET(Calculation!B$7,0,11*$B58)</f>
        <v>1.7865794706928853</v>
      </c>
      <c r="D58" s="58">
        <f ca="1">OFFSET(Calculation!C$7,0,11*$B58)</f>
        <v>0.2605802367485161</v>
      </c>
      <c r="E58" s="58">
        <f ca="1">OFFSET(Calculation!D$7,0,11*$B58)</f>
        <v>1</v>
      </c>
      <c r="F58" s="63">
        <f ca="1">OFFSET(Calculation!B$8,0,11*$B58)</f>
        <v>4.8783301994994508</v>
      </c>
      <c r="G58" s="58">
        <f ca="1">OFFSET(Calculation!C$8,0,11*$B58)</f>
        <v>3.3448039338256206</v>
      </c>
      <c r="H58" s="58">
        <f ca="1">OFFSET(Calculation!D$8,0,11*$B58)</f>
        <v>1</v>
      </c>
      <c r="I58" s="63">
        <f ca="1">OFFSET(Calculation!B$9,0,11*$B58)</f>
        <v>1.5764905996702903</v>
      </c>
      <c r="J58" s="58">
        <f ca="1">OFFSET(Calculation!C$9,0,11*$B58)</f>
        <v>2.9416078850682768</v>
      </c>
      <c r="K58" s="58">
        <f ca="1">OFFSET(Calculation!D$9,0,11*$B58)</f>
        <v>1</v>
      </c>
    </row>
    <row r="59" spans="2:11" x14ac:dyDescent="0.25">
      <c r="B59" s="49">
        <f t="shared" si="0"/>
        <v>4</v>
      </c>
      <c r="C59" s="63">
        <f ca="1">OFFSET(Calculation!B$7,0,11*$B59)</f>
        <v>1.4576443409461235</v>
      </c>
      <c r="D59" s="58">
        <f ca="1">OFFSET(Calculation!C$7,0,11*$B59)</f>
        <v>0.28528983222399373</v>
      </c>
      <c r="E59" s="58">
        <f ca="1">OFFSET(Calculation!D$7,0,11*$B59)</f>
        <v>1</v>
      </c>
      <c r="F59" s="63">
        <f ca="1">OFFSET(Calculation!B$8,0,11*$B59)</f>
        <v>5.0365029096836462</v>
      </c>
      <c r="G59" s="58">
        <f ca="1">OFFSET(Calculation!C$8,0,11*$B59)</f>
        <v>3.0572970764384162</v>
      </c>
      <c r="H59" s="58">
        <f ca="1">OFFSET(Calculation!D$8,0,11*$B59)</f>
        <v>1</v>
      </c>
      <c r="I59" s="63">
        <f ca="1">OFFSET(Calculation!B$9,0,11*$B59)</f>
        <v>1.7152366082504102</v>
      </c>
      <c r="J59" s="58">
        <f ca="1">OFFSET(Calculation!C$9,0,11*$B59)</f>
        <v>3.0868566330059797</v>
      </c>
      <c r="K59" s="58">
        <f ca="1">OFFSET(Calculation!D$9,0,11*$B59)</f>
        <v>1</v>
      </c>
    </row>
    <row r="60" spans="2:11" x14ac:dyDescent="0.25">
      <c r="B60" s="49">
        <f t="shared" si="0"/>
        <v>5</v>
      </c>
      <c r="C60" s="63">
        <f ca="1">OFFSET(Calculation!B$7,0,11*$B60)</f>
        <v>0.88172670429440347</v>
      </c>
      <c r="D60" s="58">
        <f ca="1">OFFSET(Calculation!C$7,0,11*$B60)</f>
        <v>0.38736790265458626</v>
      </c>
      <c r="E60" s="58">
        <f ca="1">OFFSET(Calculation!D$7,0,11*$B60)</f>
        <v>1</v>
      </c>
      <c r="F60" s="63">
        <f ca="1">OFFSET(Calculation!B$8,0,11*$B60)</f>
        <v>5.1311161872385176</v>
      </c>
      <c r="G60" s="58">
        <f ca="1">OFFSET(Calculation!C$8,0,11*$B60)</f>
        <v>2.6815493179418546</v>
      </c>
      <c r="H60" s="58">
        <f ca="1">OFFSET(Calculation!D$8,0,11*$B60)</f>
        <v>1</v>
      </c>
      <c r="I60" s="63">
        <f ca="1">OFFSET(Calculation!B$9,0,11*$B60)</f>
        <v>1.8360579104018708</v>
      </c>
      <c r="J60" s="58">
        <f ca="1">OFFSET(Calculation!C$9,0,11*$B60)</f>
        <v>3.2340967522600521</v>
      </c>
      <c r="K60" s="58">
        <f ca="1">OFFSET(Calculation!D$9,0,11*$B60)</f>
        <v>1</v>
      </c>
    </row>
    <row r="61" spans="2:11" x14ac:dyDescent="0.25">
      <c r="B61" s="49">
        <f t="shared" si="0"/>
        <v>6</v>
      </c>
      <c r="C61" s="63">
        <f ca="1">OFFSET(Calculation!B$7,0,11*$B61)</f>
        <v>0.65840974427681476</v>
      </c>
      <c r="D61" s="58">
        <f ca="1">OFFSET(Calculation!C$7,0,11*$B61)</f>
        <v>0.46489323811499572</v>
      </c>
      <c r="E61" s="58">
        <f ca="1">OFFSET(Calculation!D$7,0,11*$B61)</f>
        <v>1</v>
      </c>
      <c r="F61" s="63">
        <f ca="1">OFFSET(Calculation!B$8,0,11*$B61)</f>
        <v>5.1912462290061487</v>
      </c>
      <c r="G61" s="58">
        <f ca="1">OFFSET(Calculation!C$8,0,11*$B61)</f>
        <v>2.5146605712420174</v>
      </c>
      <c r="H61" s="58">
        <f ca="1">OFFSET(Calculation!D$8,0,11*$B61)</f>
        <v>1</v>
      </c>
      <c r="I61" s="63">
        <f ca="1">OFFSET(Calculation!B$9,0,11*$B61)</f>
        <v>1.9455791289216191</v>
      </c>
      <c r="J61" s="58">
        <f ca="1">OFFSET(Calculation!C$9,0,11*$B61)</f>
        <v>3.363582551123506</v>
      </c>
      <c r="K61" s="58">
        <f ca="1">OFFSET(Calculation!D$9,0,11*$B61)</f>
        <v>1</v>
      </c>
    </row>
    <row r="62" spans="2:11" x14ac:dyDescent="0.25">
      <c r="B62" s="49">
        <f t="shared" si="0"/>
        <v>7</v>
      </c>
      <c r="C62" s="63">
        <f ca="1">OFFSET(Calculation!B$7,0,11*$B62)</f>
        <v>0.65858331106328383</v>
      </c>
      <c r="D62" s="58">
        <f ca="1">OFFSET(Calculation!C$7,0,11*$B62)</f>
        <v>0.49770565127761929</v>
      </c>
      <c r="E62" s="58">
        <f ca="1">OFFSET(Calculation!D$7,0,11*$B62)</f>
        <v>1</v>
      </c>
      <c r="F62" s="63">
        <f ca="1">OFFSET(Calculation!B$8,0,11*$B62)</f>
        <v>5.21970994387378</v>
      </c>
      <c r="G62" s="58">
        <f ca="1">OFFSET(Calculation!C$8,0,11*$B62)</f>
        <v>2.4246587621192184</v>
      </c>
      <c r="H62" s="58">
        <f ca="1">OFFSET(Calculation!D$8,0,11*$B62)</f>
        <v>1</v>
      </c>
      <c r="I62" s="63">
        <f ca="1">OFFSET(Calculation!B$9,0,11*$B62)</f>
        <v>2.0582866804295707</v>
      </c>
      <c r="J62" s="58">
        <f ca="1">OFFSET(Calculation!C$9,0,11*$B62)</f>
        <v>3.4763423017166062</v>
      </c>
      <c r="K62" s="58">
        <f ca="1">OFFSET(Calculation!D$9,0,11*$B62)</f>
        <v>1</v>
      </c>
    </row>
    <row r="63" spans="2:11" x14ac:dyDescent="0.25">
      <c r="B63" s="49">
        <f t="shared" si="0"/>
        <v>8</v>
      </c>
      <c r="C63" s="63">
        <f ca="1">OFFSET(Calculation!B$7,0,11*$B63)</f>
        <v>0.66523945841562981</v>
      </c>
      <c r="D63" s="58">
        <f ca="1">OFFSET(Calculation!C$7,0,11*$B63)</f>
        <v>0.52608788211514146</v>
      </c>
      <c r="E63" s="58">
        <f ca="1">OFFSET(Calculation!D$7,0,11*$B63)</f>
        <v>1</v>
      </c>
      <c r="F63" s="63">
        <f ca="1">OFFSET(Calculation!B$8,0,11*$B63)</f>
        <v>5.2388531969560175</v>
      </c>
      <c r="G63" s="58">
        <f ca="1">OFFSET(Calculation!C$8,0,11*$B63)</f>
        <v>2.2879644883876971</v>
      </c>
      <c r="H63" s="58">
        <f ca="1">OFFSET(Calculation!D$8,0,11*$B63)</f>
        <v>1</v>
      </c>
      <c r="I63" s="63">
        <f ca="1">OFFSET(Calculation!B$9,0,11*$B63)</f>
        <v>2.207238325753254</v>
      </c>
      <c r="J63" s="58">
        <f ca="1">OFFSET(Calculation!C$9,0,11*$B63)</f>
        <v>3.6157848083709663</v>
      </c>
      <c r="K63" s="58">
        <f ca="1">OFFSET(Calculation!D$9,0,11*$B63)</f>
        <v>1</v>
      </c>
    </row>
    <row r="64" spans="2:11" x14ac:dyDescent="0.25">
      <c r="B64" s="49">
        <f t="shared" si="0"/>
        <v>9</v>
      </c>
      <c r="C64" s="63">
        <f ca="1">OFFSET(Calculation!B$7,0,11*$B64)</f>
        <v>0.6726413094862197</v>
      </c>
      <c r="D64" s="58">
        <f ca="1">OFFSET(Calculation!C$7,0,11*$B64)</f>
        <v>0.56122757786292909</v>
      </c>
      <c r="E64" s="58">
        <f ca="1">OFFSET(Calculation!D$7,0,11*$B64)</f>
        <v>1</v>
      </c>
      <c r="F64" s="63">
        <f ca="1">OFFSET(Calculation!B$8,0,11*$B64)</f>
        <v>5.2692114720266519</v>
      </c>
      <c r="G64" s="58">
        <f ca="1">OFFSET(Calculation!C$8,0,11*$B64)</f>
        <v>1.9670021275354224</v>
      </c>
      <c r="H64" s="58">
        <f ca="1">OFFSET(Calculation!D$8,0,11*$B64)</f>
        <v>1</v>
      </c>
      <c r="I64" s="63">
        <f ca="1">OFFSET(Calculation!B$9,0,11*$B64)</f>
        <v>2.4698349586684976</v>
      </c>
      <c r="J64" s="58">
        <f ca="1">OFFSET(Calculation!C$9,0,11*$B64)</f>
        <v>3.8492181977754587</v>
      </c>
      <c r="K64" s="58">
        <f ca="1">OFFSET(Calculation!D$9,0,11*$B64)</f>
        <v>1</v>
      </c>
    </row>
    <row r="65" spans="2:11" x14ac:dyDescent="0.25">
      <c r="B65" s="49">
        <f t="shared" si="0"/>
        <v>10</v>
      </c>
      <c r="C65" s="63">
        <f ca="1">OFFSET(Calculation!B$7,0,11*$B65)</f>
        <v>0.68471325030611163</v>
      </c>
      <c r="D65" s="58">
        <f ca="1">OFFSET(Calculation!C$7,0,11*$B65)</f>
        <v>0.63063561292930503</v>
      </c>
      <c r="E65" s="58">
        <f ca="1">OFFSET(Calculation!D$7,0,11*$B65)</f>
        <v>1</v>
      </c>
      <c r="F65" s="63">
        <f ca="1">OFFSET(Calculation!B$8,0,11*$B65)</f>
        <v>5.3161126727729284</v>
      </c>
      <c r="G65" s="58">
        <f ca="1">OFFSET(Calculation!C$8,0,11*$B65)</f>
        <v>1.4427141533371761</v>
      </c>
      <c r="H65" s="58">
        <f ca="1">OFFSET(Calculation!D$8,0,11*$B65)</f>
        <v>1</v>
      </c>
      <c r="I65" s="63">
        <f ca="1">OFFSET(Calculation!B$9,0,11*$B65)</f>
        <v>2.7795718855257436</v>
      </c>
      <c r="J65" s="58">
        <f ca="1">OFFSET(Calculation!C$9,0,11*$B65)</f>
        <v>4.1161008861407709</v>
      </c>
      <c r="K65" s="58">
        <f ca="1">OFFSET(Calculation!D$9,0,11*$B65)</f>
        <v>1</v>
      </c>
    </row>
    <row r="66" spans="2:11" x14ac:dyDescent="0.25">
      <c r="B66" s="49">
        <f>1+B65</f>
        <v>11</v>
      </c>
      <c r="C66" s="63">
        <f ca="1">OFFSET(Calculation!B$7,0,11*$B66)</f>
        <v>0.70474668411789032</v>
      </c>
      <c r="D66" s="58">
        <f ca="1">OFFSET(Calculation!C$7,0,11*$B66)</f>
        <v>0.76345325820103704</v>
      </c>
      <c r="E66" s="58">
        <f ca="1">OFFSET(Calculation!D$7,0,11*$B66)</f>
        <v>1</v>
      </c>
      <c r="F66" s="63">
        <f ca="1">OFFSET(Calculation!B$8,0,11*$B66)</f>
        <v>5.3307079596620861</v>
      </c>
      <c r="G66" s="58">
        <f ca="1">OFFSET(Calculation!C$8,0,11*$B66)</f>
        <v>1.3370128478915091</v>
      </c>
      <c r="H66" s="58">
        <f ca="1">OFFSET(Calculation!D$8,0,11*$B66)</f>
        <v>1</v>
      </c>
      <c r="I66" s="63">
        <f ca="1">OFFSET(Calculation!B$9,0,11*$B66)</f>
        <v>2.9175730881730182</v>
      </c>
      <c r="J66" s="58">
        <f ca="1">OFFSET(Calculation!C$9,0,11*$B66)</f>
        <v>4.2171451983796189</v>
      </c>
      <c r="K66" s="58">
        <f ca="1">OFFSET(Calculation!D$9,0,11*$B66)</f>
        <v>1</v>
      </c>
    </row>
    <row r="67" spans="2:11" x14ac:dyDescent="0.25">
      <c r="B67" s="49">
        <f t="shared" ref="B67:B74" si="1">1+B66</f>
        <v>12</v>
      </c>
      <c r="C67" s="63">
        <f ca="1">OFFSET(Calculation!B$7,0,11*$B67)</f>
        <v>0.72228566060216481</v>
      </c>
      <c r="D67" s="58">
        <f ca="1">OFFSET(Calculation!C$7,0,11*$B67)</f>
        <v>0.87649472715766197</v>
      </c>
      <c r="E67" s="58">
        <f ca="1">OFFSET(Calculation!D$7,0,11*$B67)</f>
        <v>1</v>
      </c>
      <c r="F67" s="63">
        <f ca="1">OFFSET(Calculation!B$8,0,11*$B67)</f>
        <v>5.3316709354555512</v>
      </c>
      <c r="G67" s="58">
        <f ca="1">OFFSET(Calculation!C$8,0,11*$B67)</f>
        <v>1.3338615841954793</v>
      </c>
      <c r="H67" s="58">
        <f ca="1">OFFSET(Calculation!D$8,0,11*$B67)</f>
        <v>1</v>
      </c>
      <c r="I67" s="63">
        <f ca="1">OFFSET(Calculation!B$9,0,11*$B67)</f>
        <v>3.015615425308245</v>
      </c>
      <c r="J67" s="58">
        <f ca="1">OFFSET(Calculation!C$9,0,11*$B67)</f>
        <v>4.2798493026708053</v>
      </c>
      <c r="K67" s="58">
        <f ca="1">OFFSET(Calculation!D$9,0,11*$B67)</f>
        <v>1</v>
      </c>
    </row>
    <row r="68" spans="2:11" x14ac:dyDescent="0.25">
      <c r="B68" s="49">
        <f t="shared" si="1"/>
        <v>13</v>
      </c>
      <c r="C68" s="63">
        <f ca="1">OFFSET(Calculation!B$7,0,11*$B68)</f>
        <v>0.73617350963964723</v>
      </c>
      <c r="D68" s="58">
        <f ca="1">OFFSET(Calculation!C$7,0,11*$B68)</f>
        <v>0.95882749505433795</v>
      </c>
      <c r="E68" s="58">
        <f ca="1">OFFSET(Calculation!D$7,0,11*$B68)</f>
        <v>1</v>
      </c>
      <c r="F68" s="63">
        <f ca="1">OFFSET(Calculation!B$8,0,11*$B68)</f>
        <v>5.3316475641960466</v>
      </c>
      <c r="G68" s="58">
        <f ca="1">OFFSET(Calculation!C$8,0,11*$B68)</f>
        <v>1.3333679224910344</v>
      </c>
      <c r="H68" s="58">
        <f ca="1">OFFSET(Calculation!D$8,0,11*$B68)</f>
        <v>1</v>
      </c>
      <c r="I68" s="63">
        <f ca="1">OFFSET(Calculation!B$9,0,11*$B68)</f>
        <v>3.0975839567524934</v>
      </c>
      <c r="J68" s="58">
        <f ca="1">OFFSET(Calculation!C$9,0,11*$B68)</f>
        <v>4.3322116816244458</v>
      </c>
      <c r="K68" s="58">
        <f ca="1">OFFSET(Calculation!D$9,0,11*$B68)</f>
        <v>1</v>
      </c>
    </row>
    <row r="69" spans="2:11" x14ac:dyDescent="0.25">
      <c r="B69" s="49">
        <f t="shared" si="1"/>
        <v>14</v>
      </c>
      <c r="C69" s="63">
        <f ca="1">OFFSET(Calculation!B$7,0,11*$B69)</f>
        <v>0.74693888745928461</v>
      </c>
      <c r="D69" s="58">
        <f ca="1">OFFSET(Calculation!C$7,0,11*$B69)</f>
        <v>1.0161374348857886</v>
      </c>
      <c r="E69" s="58">
        <f ca="1">OFFSET(Calculation!D$7,0,11*$B69)</f>
        <v>1</v>
      </c>
      <c r="F69" s="63">
        <f ca="1">OFFSET(Calculation!B$8,0,11*$B69)</f>
        <v>5.3315517150566638</v>
      </c>
      <c r="G69" s="58">
        <f ca="1">OFFSET(Calculation!C$8,0,11*$B69)</f>
        <v>1.3331143698773171</v>
      </c>
      <c r="H69" s="58">
        <f ca="1">OFFSET(Calculation!D$8,0,11*$B69)</f>
        <v>1</v>
      </c>
      <c r="I69" s="63">
        <f ca="1">OFFSET(Calculation!B$9,0,11*$B69)</f>
        <v>3.1608411690057738</v>
      </c>
      <c r="J69" s="58">
        <f ca="1">OFFSET(Calculation!C$9,0,11*$B69)</f>
        <v>4.3726668572553749</v>
      </c>
      <c r="K69" s="58">
        <f ca="1">OFFSET(Calculation!D$9,0,11*$B69)</f>
        <v>1</v>
      </c>
    </row>
    <row r="70" spans="2:11" x14ac:dyDescent="0.25">
      <c r="B70" s="49">
        <f t="shared" si="1"/>
        <v>15</v>
      </c>
      <c r="C70" s="63">
        <f ca="1">OFFSET(Calculation!B$7,0,11*$B70)</f>
        <v>0.75493480601638285</v>
      </c>
      <c r="D70" s="58">
        <f ca="1">OFFSET(Calculation!C$7,0,11*$B70)</f>
        <v>1.0538819455843051</v>
      </c>
      <c r="E70" s="58">
        <f ca="1">OFFSET(Calculation!D$7,0,11*$B70)</f>
        <v>1</v>
      </c>
      <c r="F70" s="63">
        <f ca="1">OFFSET(Calculation!B$8,0,11*$B70)</f>
        <v>5.3314399741421514</v>
      </c>
      <c r="G70" s="58">
        <f ca="1">OFFSET(Calculation!C$8,0,11*$B70)</f>
        <v>1.3329910199426385</v>
      </c>
      <c r="H70" s="58">
        <f ca="1">OFFSET(Calculation!D$8,0,11*$B70)</f>
        <v>1</v>
      </c>
      <c r="I70" s="63">
        <f ca="1">OFFSET(Calculation!B$9,0,11*$B70)</f>
        <v>3.204947770315572</v>
      </c>
      <c r="J70" s="58">
        <f ca="1">OFFSET(Calculation!C$9,0,11*$B70)</f>
        <v>4.4009933217900885</v>
      </c>
      <c r="K70" s="58">
        <f ca="1">OFFSET(Calculation!D$9,0,11*$B70)</f>
        <v>1</v>
      </c>
    </row>
    <row r="71" spans="2:11" x14ac:dyDescent="0.25">
      <c r="B71" s="49">
        <f t="shared" si="1"/>
        <v>16</v>
      </c>
      <c r="C71" s="63">
        <f ca="1">OFFSET(Calculation!B$7,0,11*$B71)</f>
        <v>0.76053348459127135</v>
      </c>
      <c r="D71" s="58">
        <f ca="1">OFFSET(Calculation!C$7,0,11*$B71)</f>
        <v>1.0776150381075791</v>
      </c>
      <c r="E71" s="58">
        <f ca="1">OFFSET(Calculation!D$7,0,11*$B71)</f>
        <v>1</v>
      </c>
      <c r="F71" s="63">
        <f ca="1">OFFSET(Calculation!B$8,0,11*$B71)</f>
        <v>5.3313414133138837</v>
      </c>
      <c r="G71" s="58">
        <f ca="1">OFFSET(Calculation!C$8,0,11*$B71)</f>
        <v>1.3329411420328523</v>
      </c>
      <c r="H71" s="58">
        <f ca="1">OFFSET(Calculation!D$8,0,11*$B71)</f>
        <v>1</v>
      </c>
      <c r="I71" s="63">
        <f ca="1">OFFSET(Calculation!B$9,0,11*$B71)</f>
        <v>3.2333441892354808</v>
      </c>
      <c r="J71" s="58">
        <f ca="1">OFFSET(Calculation!C$9,0,11*$B71)</f>
        <v>4.4193405442882545</v>
      </c>
      <c r="K71" s="58">
        <f ca="1">OFFSET(Calculation!D$9,0,11*$B71)</f>
        <v>1</v>
      </c>
    </row>
    <row r="72" spans="2:11" x14ac:dyDescent="0.25">
      <c r="B72" s="49">
        <f t="shared" si="1"/>
        <v>17</v>
      </c>
      <c r="C72" s="63">
        <f ca="1">OFFSET(Calculation!B$7,0,11*$B72)</f>
        <v>0.76422732728432508</v>
      </c>
      <c r="D72" s="58">
        <f ca="1">OFFSET(Calculation!C$7,0,11*$B72)</f>
        <v>1.0920644271220588</v>
      </c>
      <c r="E72" s="58">
        <f ca="1">OFFSET(Calculation!D$7,0,11*$B72)</f>
        <v>1</v>
      </c>
      <c r="F72" s="63">
        <f ca="1">OFFSET(Calculation!B$8,0,11*$B72)</f>
        <v>5.331268429323873</v>
      </c>
      <c r="G72" s="58">
        <f ca="1">OFFSET(Calculation!C$8,0,11*$B72)</f>
        <v>1.3329250358162319</v>
      </c>
      <c r="H72" s="58">
        <f ca="1">OFFSET(Calculation!D$8,0,11*$B72)</f>
        <v>1</v>
      </c>
      <c r="I72" s="63">
        <f ca="1">OFFSET(Calculation!B$9,0,11*$B72)</f>
        <v>3.2507394887587284</v>
      </c>
      <c r="J72" s="58">
        <f ca="1">OFFSET(Calculation!C$9,0,11*$B72)</f>
        <v>4.430647650306458</v>
      </c>
      <c r="K72" s="58">
        <f ca="1">OFFSET(Calculation!D$9,0,11*$B72)</f>
        <v>1</v>
      </c>
    </row>
    <row r="73" spans="2:11" x14ac:dyDescent="0.25">
      <c r="B73" s="49">
        <f t="shared" si="1"/>
        <v>18</v>
      </c>
      <c r="C73" s="63">
        <f ca="1">OFFSET(Calculation!B$7,0,11*$B73)</f>
        <v>0.76655107136910161</v>
      </c>
      <c r="D73" s="58">
        <f ca="1">OFFSET(Calculation!C$7,0,11*$B73)</f>
        <v>1.1006817728190124</v>
      </c>
      <c r="E73" s="58">
        <f ca="1">OFFSET(Calculation!D$7,0,11*$B73)</f>
        <v>1</v>
      </c>
      <c r="F73" s="63">
        <f ca="1">OFFSET(Calculation!B$8,0,11*$B73)</f>
        <v>5.3312198602530714</v>
      </c>
      <c r="G73" s="58">
        <f ca="1">OFFSET(Calculation!C$8,0,11*$B73)</f>
        <v>1.3329215837014505</v>
      </c>
      <c r="H73" s="58">
        <f ca="1">OFFSET(Calculation!D$8,0,11*$B73)</f>
        <v>1</v>
      </c>
      <c r="I73" s="63">
        <f ca="1">OFFSET(Calculation!B$9,0,11*$B73)</f>
        <v>3.2611097523671471</v>
      </c>
      <c r="J73" s="58">
        <f ca="1">OFFSET(Calculation!C$9,0,11*$B73)</f>
        <v>4.4374211090399331</v>
      </c>
      <c r="K73" s="58">
        <f ca="1">OFFSET(Calculation!D$9,0,11*$B73)</f>
        <v>1</v>
      </c>
    </row>
    <row r="74" spans="2:11" x14ac:dyDescent="0.25">
      <c r="B74" s="49">
        <f t="shared" si="1"/>
        <v>19</v>
      </c>
      <c r="C74" s="63">
        <f ca="1">OFFSET(Calculation!B$7,0,11*$B74)</f>
        <v>0.76796568137841226</v>
      </c>
      <c r="D74" s="58">
        <f ca="1">OFFSET(Calculation!C$7,0,11*$B74)</f>
        <v>1.1057564020816297</v>
      </c>
      <c r="E74" s="58">
        <f ca="1">OFFSET(Calculation!D$7,0,11*$B74)</f>
        <v>1</v>
      </c>
      <c r="F74" s="63">
        <f ca="1">OFFSET(Calculation!B$8,0,11*$B74)</f>
        <v>5.331189465303189</v>
      </c>
      <c r="G74" s="58">
        <f ca="1">OFFSET(Calculation!C$8,0,11*$B74)</f>
        <v>1.3329219241644599</v>
      </c>
      <c r="H74" s="58">
        <f ca="1">OFFSET(Calculation!D$8,0,11*$B74)</f>
        <v>1</v>
      </c>
      <c r="I74" s="63">
        <f ca="1">OFFSET(Calculation!B$9,0,11*$B74)</f>
        <v>3.2672052100775519</v>
      </c>
      <c r="J74" s="58">
        <f ca="1">OFFSET(Calculation!C$9,0,11*$B74)</f>
        <v>4.4414159832567321</v>
      </c>
      <c r="K74" s="58">
        <f ca="1">OFFSET(Calculation!D$9,0,11*$B74)</f>
        <v>1</v>
      </c>
    </row>
    <row r="75" spans="2:11" x14ac:dyDescent="0.25">
      <c r="B75" s="49">
        <f>1+B74</f>
        <v>20</v>
      </c>
      <c r="C75" s="63">
        <f ca="1">OFFSET(Calculation!B$7,0,11*$B75)</f>
        <v>0.76880911919303829</v>
      </c>
      <c r="D75" s="58">
        <f ca="1">OFFSET(Calculation!C$7,0,11*$B75)</f>
        <v>1.1087223363005023</v>
      </c>
      <c r="E75" s="58">
        <f ca="1">OFFSET(Calculation!D$7,0,11*$B75)</f>
        <v>1</v>
      </c>
      <c r="F75" s="63">
        <f ca="1">OFFSET(Calculation!B$8,0,11*$B75)</f>
        <v>5.3311710873039564</v>
      </c>
      <c r="G75" s="58">
        <f ca="1">OFFSET(Calculation!C$8,0,11*$B75)</f>
        <v>1.3329229818827504</v>
      </c>
      <c r="H75" s="58">
        <f ca="1">OFFSET(Calculation!D$8,0,11*$B75)</f>
        <v>1</v>
      </c>
      <c r="I75" s="63">
        <f ca="1">OFFSET(Calculation!B$9,0,11*$B75)</f>
        <v>3.2707617309702215</v>
      </c>
      <c r="J75" s="58">
        <f ca="1">OFFSET(Calculation!C$9,0,11*$B75)</f>
        <v>4.4437520092340739</v>
      </c>
      <c r="K75" s="58">
        <f ca="1">OFFSET(Calculation!D$9,0,11*$B75)</f>
        <v>1</v>
      </c>
    </row>
  </sheetData>
  <mergeCells count="11">
    <mergeCell ref="A40:H41"/>
    <mergeCell ref="A42:H44"/>
    <mergeCell ref="A14:C16"/>
    <mergeCell ref="F9:G9"/>
    <mergeCell ref="A1:K2"/>
    <mergeCell ref="A3:K4"/>
    <mergeCell ref="D14:F16"/>
    <mergeCell ref="G14:G16"/>
    <mergeCell ref="H14:O16"/>
    <mergeCell ref="A6:K6"/>
    <mergeCell ref="A5:K5"/>
  </mergeCells>
  <phoneticPr fontId="0" type="noConversion"/>
  <pageMargins left="0.75" right="0.75" top="1" bottom="1" header="0.5" footer="0.5"/>
  <pageSetup orientation="portrait" horizontalDpi="200" verticalDpi="200" r:id="rId1"/>
  <headerFooter alignWithMargins="0"/>
  <drawing r:id="rId2"/>
  <legacyDrawing r:id="rId3"/>
  <controls>
    <mc:AlternateContent xmlns:mc="http://schemas.openxmlformats.org/markup-compatibility/2006">
      <mc:Choice Requires="x14">
        <control shapeId="14341" r:id="rId4" name="ScrollBar1">
          <controlPr locked="0" defaultSize="0" autoFill="0" autoLine="0" linkedCell="G14" r:id="rId5">
            <anchor moveWithCells="1">
              <from>
                <xdr:col>6</xdr:col>
                <xdr:colOff>175260</xdr:colOff>
                <xdr:row>16</xdr:row>
                <xdr:rowOff>53340</xdr:rowOff>
              </from>
              <to>
                <xdr:col>6</xdr:col>
                <xdr:colOff>502920</xdr:colOff>
                <xdr:row>37</xdr:row>
                <xdr:rowOff>99060</xdr:rowOff>
              </to>
            </anchor>
          </controlPr>
        </control>
      </mc:Choice>
      <mc:Fallback>
        <control shapeId="14341" r:id="rId4" name="ScrollBar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W56"/>
  <sheetViews>
    <sheetView workbookViewId="0">
      <pane ySplit="13380" topLeftCell="A26"/>
      <selection sqref="A1:H2"/>
      <selection pane="bottomLeft" activeCell="A51" sqref="A51"/>
    </sheetView>
  </sheetViews>
  <sheetFormatPr defaultRowHeight="13.2" x14ac:dyDescent="0.25"/>
  <cols>
    <col min="5" max="11" width="11.6640625" customWidth="1"/>
    <col min="13" max="13" width="10.33203125" bestFit="1" customWidth="1"/>
    <col min="16" max="22" width="11.6640625" customWidth="1"/>
    <col min="24" max="24" width="10.33203125" bestFit="1" customWidth="1"/>
    <col min="27" max="33" width="11.6640625" customWidth="1"/>
    <col min="35" max="35" width="10.33203125" bestFit="1" customWidth="1"/>
    <col min="38" max="44" width="11.6640625" customWidth="1"/>
    <col min="46" max="46" width="10.33203125" bestFit="1" customWidth="1"/>
    <col min="49" max="55" width="11.6640625" customWidth="1"/>
    <col min="57" max="57" width="10.33203125" bestFit="1" customWidth="1"/>
    <col min="60" max="66" width="11.6640625" customWidth="1"/>
    <col min="68" max="68" width="10.33203125" bestFit="1" customWidth="1"/>
    <col min="71" max="77" width="11.6640625" customWidth="1"/>
    <col min="79" max="79" width="10.33203125" bestFit="1" customWidth="1"/>
    <col min="82" max="88" width="11.6640625" customWidth="1"/>
    <col min="90" max="90" width="10.33203125" bestFit="1" customWidth="1"/>
    <col min="93" max="99" width="11.6640625" customWidth="1"/>
    <col min="101" max="101" width="10.33203125" bestFit="1" customWidth="1"/>
    <col min="104" max="110" width="11.6640625" customWidth="1"/>
    <col min="112" max="112" width="10.33203125" bestFit="1" customWidth="1"/>
    <col min="115" max="121" width="11.6640625" customWidth="1"/>
    <col min="123" max="123" width="10.33203125" bestFit="1" customWidth="1"/>
    <col min="126" max="132" width="11.6640625" customWidth="1"/>
    <col min="134" max="134" width="10.33203125" bestFit="1" customWidth="1"/>
    <col min="137" max="143" width="11.6640625" customWidth="1"/>
    <col min="145" max="145" width="10.33203125" bestFit="1" customWidth="1"/>
    <col min="148" max="154" width="11.6640625" customWidth="1"/>
    <col min="156" max="156" width="10.33203125" bestFit="1" customWidth="1"/>
    <col min="159" max="165" width="11.6640625" customWidth="1"/>
    <col min="167" max="167" width="10.33203125" bestFit="1" customWidth="1"/>
    <col min="170" max="176" width="11.6640625" customWidth="1"/>
    <col min="178" max="178" width="10.33203125" bestFit="1" customWidth="1"/>
    <col min="181" max="187" width="11.6640625" customWidth="1"/>
    <col min="189" max="189" width="10.33203125" bestFit="1" customWidth="1"/>
    <col min="192" max="198" width="11.6640625" customWidth="1"/>
    <col min="200" max="200" width="10.33203125" bestFit="1" customWidth="1"/>
    <col min="203" max="209" width="11.6640625" customWidth="1"/>
    <col min="211" max="211" width="10.33203125" bestFit="1" customWidth="1"/>
    <col min="214" max="220" width="11.6640625" customWidth="1"/>
    <col min="222" max="222" width="10.33203125" bestFit="1" customWidth="1"/>
    <col min="225" max="231" width="11.6640625" customWidth="1"/>
  </cols>
  <sheetData>
    <row r="1" spans="1:231" x14ac:dyDescent="0.25">
      <c r="A1" s="64" t="s">
        <v>42</v>
      </c>
      <c r="B1" s="76"/>
      <c r="C1" s="76"/>
      <c r="D1" s="76"/>
      <c r="E1" s="76"/>
      <c r="F1" s="76"/>
      <c r="G1" s="76"/>
      <c r="H1" s="76"/>
      <c r="I1" s="27"/>
      <c r="J1" s="27"/>
      <c r="L1" s="64" t="s">
        <v>23</v>
      </c>
      <c r="M1" s="76"/>
      <c r="N1" s="76"/>
      <c r="O1" s="76"/>
      <c r="P1" s="76"/>
      <c r="Q1" s="76"/>
      <c r="R1" s="76"/>
      <c r="S1" s="76"/>
      <c r="T1" s="76"/>
      <c r="U1" s="76"/>
      <c r="V1" s="27"/>
    </row>
    <row r="2" spans="1:231" x14ac:dyDescent="0.25">
      <c r="A2" s="76"/>
      <c r="B2" s="76"/>
      <c r="C2" s="76"/>
      <c r="D2" s="76"/>
      <c r="E2" s="76"/>
      <c r="F2" s="76"/>
      <c r="G2" s="76"/>
      <c r="H2" s="76"/>
      <c r="I2" s="27"/>
      <c r="J2" s="27"/>
      <c r="L2" s="76"/>
      <c r="M2" s="76"/>
      <c r="N2" s="76"/>
      <c r="O2" s="76"/>
      <c r="P2" s="76"/>
      <c r="Q2" s="76"/>
      <c r="R2" s="76"/>
      <c r="S2" s="76"/>
      <c r="T2" s="76"/>
      <c r="U2" s="76"/>
      <c r="V2" s="27"/>
    </row>
    <row r="3" spans="1:231" ht="12.75" customHeight="1" x14ac:dyDescent="0.25">
      <c r="A3" s="66" t="s">
        <v>44</v>
      </c>
      <c r="B3" s="67"/>
      <c r="C3" s="67"/>
      <c r="D3" s="67"/>
      <c r="E3" s="67"/>
      <c r="F3" s="67"/>
      <c r="G3" s="67"/>
      <c r="H3" s="67"/>
      <c r="I3" s="36"/>
      <c r="J3" s="36"/>
      <c r="L3" s="78"/>
      <c r="M3" s="78"/>
      <c r="N3" s="78"/>
      <c r="O3" s="78"/>
      <c r="P3" s="78"/>
      <c r="Q3" s="78"/>
      <c r="R3" s="78"/>
      <c r="S3" s="78"/>
      <c r="T3" s="78"/>
      <c r="U3" s="78"/>
    </row>
    <row r="4" spans="1:231" ht="12.75" customHeight="1" x14ac:dyDescent="0.25">
      <c r="A4" s="36"/>
      <c r="B4" s="36"/>
      <c r="C4" s="36"/>
      <c r="D4" s="36"/>
      <c r="E4" s="36"/>
      <c r="F4" s="36"/>
      <c r="G4" s="36"/>
      <c r="H4" s="36"/>
      <c r="I4" s="36"/>
      <c r="J4" s="36"/>
    </row>
    <row r="5" spans="1:231" ht="12.75" customHeight="1" x14ac:dyDescent="0.3">
      <c r="A5" s="12" t="s">
        <v>25</v>
      </c>
      <c r="L5" s="12" t="s">
        <v>25</v>
      </c>
      <c r="W5" s="12" t="s">
        <v>25</v>
      </c>
      <c r="AH5" s="12" t="s">
        <v>25</v>
      </c>
      <c r="AS5" s="12" t="s">
        <v>25</v>
      </c>
      <c r="BD5" s="12" t="s">
        <v>25</v>
      </c>
      <c r="BO5" s="12" t="s">
        <v>25</v>
      </c>
      <c r="BZ5" s="12" t="s">
        <v>25</v>
      </c>
      <c r="CK5" s="12" t="s">
        <v>25</v>
      </c>
      <c r="CV5" s="12" t="s">
        <v>25</v>
      </c>
      <c r="DG5" s="12" t="s">
        <v>25</v>
      </c>
      <c r="DR5" s="12" t="s">
        <v>25</v>
      </c>
      <c r="EC5" s="12" t="s">
        <v>25</v>
      </c>
      <c r="EN5" s="12" t="s">
        <v>25</v>
      </c>
      <c r="EY5" s="12" t="s">
        <v>25</v>
      </c>
      <c r="FJ5" s="12" t="s">
        <v>25</v>
      </c>
      <c r="FU5" s="12" t="s">
        <v>25</v>
      </c>
      <c r="GF5" s="12" t="s">
        <v>25</v>
      </c>
      <c r="GQ5" s="12" t="s">
        <v>25</v>
      </c>
      <c r="HB5" s="12" t="s">
        <v>25</v>
      </c>
      <c r="HM5" s="12" t="s">
        <v>25</v>
      </c>
    </row>
    <row r="6" spans="1:231" ht="13.5" customHeight="1" thickBot="1" x14ac:dyDescent="0.3">
      <c r="A6" s="2"/>
      <c r="B6" s="8" t="s">
        <v>0</v>
      </c>
      <c r="C6" s="8" t="s">
        <v>1</v>
      </c>
      <c r="D6" s="8" t="s">
        <v>26</v>
      </c>
      <c r="E6" s="77" t="s">
        <v>27</v>
      </c>
      <c r="F6" s="78"/>
      <c r="L6" s="2"/>
      <c r="M6" s="8" t="s">
        <v>0</v>
      </c>
      <c r="N6" s="8" t="s">
        <v>1</v>
      </c>
      <c r="O6" s="8" t="s">
        <v>26</v>
      </c>
      <c r="P6" s="77" t="s">
        <v>27</v>
      </c>
      <c r="Q6" s="78"/>
      <c r="W6" s="2"/>
      <c r="X6" s="8" t="s">
        <v>0</v>
      </c>
      <c r="Y6" s="8" t="s">
        <v>1</v>
      </c>
      <c r="Z6" s="8" t="s">
        <v>26</v>
      </c>
      <c r="AA6" s="77" t="s">
        <v>27</v>
      </c>
      <c r="AB6" s="78"/>
      <c r="AH6" s="2"/>
      <c r="AI6" s="8" t="s">
        <v>0</v>
      </c>
      <c r="AJ6" s="8" t="s">
        <v>1</v>
      </c>
      <c r="AK6" s="8" t="s">
        <v>26</v>
      </c>
      <c r="AL6" s="77" t="s">
        <v>27</v>
      </c>
      <c r="AM6" s="78"/>
      <c r="AS6" s="2"/>
      <c r="AT6" s="8" t="s">
        <v>0</v>
      </c>
      <c r="AU6" s="8" t="s">
        <v>1</v>
      </c>
      <c r="AV6" s="8" t="s">
        <v>26</v>
      </c>
      <c r="AW6" s="77" t="s">
        <v>27</v>
      </c>
      <c r="AX6" s="78"/>
      <c r="BD6" s="2"/>
      <c r="BE6" s="8" t="s">
        <v>0</v>
      </c>
      <c r="BF6" s="8" t="s">
        <v>1</v>
      </c>
      <c r="BG6" s="8" t="s">
        <v>26</v>
      </c>
      <c r="BH6" s="77" t="s">
        <v>27</v>
      </c>
      <c r="BI6" s="78"/>
      <c r="BO6" s="2"/>
      <c r="BP6" s="8" t="s">
        <v>0</v>
      </c>
      <c r="BQ6" s="8" t="s">
        <v>1</v>
      </c>
      <c r="BR6" s="8" t="s">
        <v>26</v>
      </c>
      <c r="BS6" s="77" t="s">
        <v>27</v>
      </c>
      <c r="BT6" s="78"/>
      <c r="BZ6" s="2"/>
      <c r="CA6" s="8" t="s">
        <v>0</v>
      </c>
      <c r="CB6" s="8" t="s">
        <v>1</v>
      </c>
      <c r="CC6" s="8" t="s">
        <v>26</v>
      </c>
      <c r="CD6" s="77" t="s">
        <v>27</v>
      </c>
      <c r="CE6" s="78"/>
      <c r="CK6" s="2"/>
      <c r="CL6" s="8" t="s">
        <v>0</v>
      </c>
      <c r="CM6" s="8" t="s">
        <v>1</v>
      </c>
      <c r="CN6" s="8" t="s">
        <v>26</v>
      </c>
      <c r="CO6" s="77" t="s">
        <v>27</v>
      </c>
      <c r="CP6" s="78"/>
      <c r="CV6" s="2"/>
      <c r="CW6" s="8" t="s">
        <v>0</v>
      </c>
      <c r="CX6" s="8" t="s">
        <v>1</v>
      </c>
      <c r="CY6" s="8" t="s">
        <v>26</v>
      </c>
      <c r="CZ6" s="77" t="s">
        <v>27</v>
      </c>
      <c r="DA6" s="78"/>
      <c r="DG6" s="2"/>
      <c r="DH6" s="8" t="s">
        <v>0</v>
      </c>
      <c r="DI6" s="8" t="s">
        <v>1</v>
      </c>
      <c r="DJ6" s="8" t="s">
        <v>26</v>
      </c>
      <c r="DK6" s="77" t="s">
        <v>27</v>
      </c>
      <c r="DL6" s="78"/>
      <c r="DR6" s="2"/>
      <c r="DS6" s="8" t="s">
        <v>0</v>
      </c>
      <c r="DT6" s="8" t="s">
        <v>1</v>
      </c>
      <c r="DU6" s="8" t="s">
        <v>26</v>
      </c>
      <c r="DV6" s="77" t="s">
        <v>27</v>
      </c>
      <c r="DW6" s="78"/>
      <c r="EC6" s="2"/>
      <c r="ED6" s="8" t="s">
        <v>0</v>
      </c>
      <c r="EE6" s="8" t="s">
        <v>1</v>
      </c>
      <c r="EF6" s="8" t="s">
        <v>26</v>
      </c>
      <c r="EG6" s="77" t="s">
        <v>27</v>
      </c>
      <c r="EH6" s="78"/>
      <c r="EN6" s="2"/>
      <c r="EO6" s="8" t="s">
        <v>0</v>
      </c>
      <c r="EP6" s="8" t="s">
        <v>1</v>
      </c>
      <c r="EQ6" s="8" t="s">
        <v>26</v>
      </c>
      <c r="ER6" s="77" t="s">
        <v>27</v>
      </c>
      <c r="ES6" s="78"/>
      <c r="EY6" s="2"/>
      <c r="EZ6" s="8" t="s">
        <v>0</v>
      </c>
      <c r="FA6" s="8" t="s">
        <v>1</v>
      </c>
      <c r="FB6" s="8" t="s">
        <v>26</v>
      </c>
      <c r="FC6" s="77" t="s">
        <v>27</v>
      </c>
      <c r="FD6" s="78"/>
      <c r="FJ6" s="2"/>
      <c r="FK6" s="8" t="s">
        <v>0</v>
      </c>
      <c r="FL6" s="8" t="s">
        <v>1</v>
      </c>
      <c r="FM6" s="8" t="s">
        <v>26</v>
      </c>
      <c r="FN6" s="77" t="s">
        <v>27</v>
      </c>
      <c r="FO6" s="78"/>
      <c r="FU6" s="2"/>
      <c r="FV6" s="8" t="s">
        <v>0</v>
      </c>
      <c r="FW6" s="8" t="s">
        <v>1</v>
      </c>
      <c r="FX6" s="8" t="s">
        <v>26</v>
      </c>
      <c r="FY6" s="77" t="s">
        <v>27</v>
      </c>
      <c r="FZ6" s="78"/>
      <c r="GF6" s="2"/>
      <c r="GG6" s="8" t="s">
        <v>0</v>
      </c>
      <c r="GH6" s="8" t="s">
        <v>1</v>
      </c>
      <c r="GI6" s="8" t="s">
        <v>26</v>
      </c>
      <c r="GJ6" s="77" t="s">
        <v>27</v>
      </c>
      <c r="GK6" s="78"/>
      <c r="GQ6" s="2"/>
      <c r="GR6" s="8" t="s">
        <v>0</v>
      </c>
      <c r="GS6" s="8" t="s">
        <v>1</v>
      </c>
      <c r="GT6" s="8" t="s">
        <v>26</v>
      </c>
      <c r="GU6" s="77" t="s">
        <v>27</v>
      </c>
      <c r="GV6" s="78"/>
      <c r="HB6" s="2"/>
      <c r="HC6" s="8" t="s">
        <v>0</v>
      </c>
      <c r="HD6" s="8" t="s">
        <v>1</v>
      </c>
      <c r="HE6" s="8" t="s">
        <v>26</v>
      </c>
      <c r="HF6" s="77" t="s">
        <v>27</v>
      </c>
      <c r="HG6" s="78"/>
      <c r="HM6" s="2"/>
      <c r="HN6" s="8" t="s">
        <v>0</v>
      </c>
      <c r="HO6" s="8" t="s">
        <v>1</v>
      </c>
      <c r="HP6" s="8" t="s">
        <v>26</v>
      </c>
      <c r="HQ6" s="77" t="s">
        <v>27</v>
      </c>
      <c r="HR6" s="78"/>
    </row>
    <row r="7" spans="1:231" ht="13.8" thickTop="1" x14ac:dyDescent="0.25">
      <c r="A7" s="3" t="s">
        <v>34</v>
      </c>
      <c r="B7" s="57">
        <f>Animation!C10</f>
        <v>2</v>
      </c>
      <c r="C7" s="57">
        <f>Animation!D10</f>
        <v>1</v>
      </c>
      <c r="D7" s="57">
        <f>Animation!E10</f>
        <v>1</v>
      </c>
      <c r="E7" s="45" t="b">
        <f>Animation!F10</f>
        <v>0</v>
      </c>
      <c r="F7" s="2"/>
      <c r="L7" s="3" t="s">
        <v>34</v>
      </c>
      <c r="M7" s="57">
        <f t="array" ref="M7">SUM(Animation!$N19:$N28*I17:I26)/I27</f>
        <v>2.5079312704701593</v>
      </c>
      <c r="N7" s="57">
        <f t="array" ref="N7">SUM(Animation!$O19:$O28*I17:I26)/I27</f>
        <v>0.87275349178586747</v>
      </c>
      <c r="O7" s="57">
        <f t="array" ref="O7">IF(E7,SUM(B17:B26^2*I17:I26)/I27,D7)</f>
        <v>1</v>
      </c>
      <c r="P7" s="45" t="b">
        <f>E7</f>
        <v>0</v>
      </c>
      <c r="Q7" s="2"/>
      <c r="W7" s="3" t="s">
        <v>34</v>
      </c>
      <c r="X7" s="57">
        <f t="array" ref="X7">SUM(Animation!$N19:$N28*T17:T26)/T27</f>
        <v>2.1042166392897266</v>
      </c>
      <c r="Y7" s="57">
        <f t="array" ref="Y7">SUM(Animation!$O19:$O28*T17:T26)/T27</f>
        <v>0.42531983358738612</v>
      </c>
      <c r="Z7" s="57">
        <f t="array" ref="Z7">IF(P7,SUM(M17:M26^2*T17:T26)/T27,O7)</f>
        <v>1</v>
      </c>
      <c r="AA7" s="45" t="b">
        <f>P7</f>
        <v>0</v>
      </c>
      <c r="AB7" s="2"/>
      <c r="AH7" s="3" t="s">
        <v>34</v>
      </c>
      <c r="AI7" s="57">
        <f t="array" ref="AI7">SUM(Animation!$N19:$N28*AE17:AE26)/AE27</f>
        <v>1.7865794706928853</v>
      </c>
      <c r="AJ7" s="57">
        <f t="array" ref="AJ7">SUM(Animation!$O19:$O28*AE17:AE26)/AE27</f>
        <v>0.2605802367485161</v>
      </c>
      <c r="AK7" s="57">
        <f t="array" ref="AK7">IF(AA7,SUM(X17:X26^2*AE17:AE26)/AE27,Z7)</f>
        <v>1</v>
      </c>
      <c r="AL7" s="45" t="b">
        <f>AA7</f>
        <v>0</v>
      </c>
      <c r="AM7" s="2"/>
      <c r="AS7" s="3" t="s">
        <v>34</v>
      </c>
      <c r="AT7" s="57">
        <f t="array" ref="AT7">SUM(Animation!$N19:$N28*AP17:AP26)/AP27</f>
        <v>1.4576443409461235</v>
      </c>
      <c r="AU7" s="57">
        <f t="array" ref="AU7">SUM(Animation!$O19:$O28*AP17:AP26)/AP27</f>
        <v>0.28528983222399373</v>
      </c>
      <c r="AV7" s="57">
        <f t="array" ref="AV7">IF(AL7,SUM(AI17:AI26^2*AP17:AP26)/AP27,AK7)</f>
        <v>1</v>
      </c>
      <c r="AW7" s="45" t="b">
        <f>AL7</f>
        <v>0</v>
      </c>
      <c r="AX7" s="2"/>
      <c r="BD7" s="3" t="s">
        <v>34</v>
      </c>
      <c r="BE7" s="57">
        <f t="array" ref="BE7">SUM(Animation!$N19:$N28*BA17:BA26)/BA27</f>
        <v>0.88172670429440347</v>
      </c>
      <c r="BF7" s="57">
        <f t="array" ref="BF7">SUM(Animation!$O19:$O28*BA17:BA26)/BA27</f>
        <v>0.38736790265458626</v>
      </c>
      <c r="BG7" s="57">
        <f t="array" ref="BG7">IF(AW7,SUM(AT17:AT26^2*BA17:BA26)/BA27,AV7)</f>
        <v>1</v>
      </c>
      <c r="BH7" s="45" t="b">
        <f>AW7</f>
        <v>0</v>
      </c>
      <c r="BI7" s="2"/>
      <c r="BO7" s="3" t="s">
        <v>34</v>
      </c>
      <c r="BP7" s="57">
        <f t="array" ref="BP7">SUM(Animation!$N19:$N28*BL17:BL26)/BL27</f>
        <v>0.65840974427681476</v>
      </c>
      <c r="BQ7" s="57">
        <f t="array" ref="BQ7">SUM(Animation!$O19:$O28*BL17:BL26)/BL27</f>
        <v>0.46489323811499572</v>
      </c>
      <c r="BR7" s="57">
        <f t="array" ref="BR7">IF(BH7,SUM(BE17:BE26^2*BL17:BL26)/BL27,BG7)</f>
        <v>1</v>
      </c>
      <c r="BS7" s="45" t="b">
        <f>BH7</f>
        <v>0</v>
      </c>
      <c r="BT7" s="2"/>
      <c r="BZ7" s="3" t="s">
        <v>34</v>
      </c>
      <c r="CA7" s="57">
        <f t="array" ref="CA7">SUM(Animation!$N19:$N28*BW17:BW26)/BW27</f>
        <v>0.65858331106328383</v>
      </c>
      <c r="CB7" s="57">
        <f t="array" ref="CB7">SUM(Animation!$O19:$O28*BW17:BW26)/BW27</f>
        <v>0.49770565127761929</v>
      </c>
      <c r="CC7" s="57">
        <f t="array" ref="CC7">IF(BS7,SUM(BP17:BP26^2*BW17:BW26)/BW27,BR7)</f>
        <v>1</v>
      </c>
      <c r="CD7" s="45" t="b">
        <f>BS7</f>
        <v>0</v>
      </c>
      <c r="CE7" s="2"/>
      <c r="CK7" s="3" t="s">
        <v>34</v>
      </c>
      <c r="CL7" s="23">
        <f t="array" ref="CL7">SUM(Animation!$N19:$N28*CH17:CH26)/CH27</f>
        <v>0.66523945841562981</v>
      </c>
      <c r="CM7" s="23">
        <f t="array" ref="CM7">SUM(Animation!$O19:$O28*CH17:CH26)/CH27</f>
        <v>0.52608788211514146</v>
      </c>
      <c r="CN7" s="23">
        <f t="array" ref="CN7">IF(CD7,SUM(CA17:CA26^2*CH17:CH26)/CH27,CC7)</f>
        <v>1</v>
      </c>
      <c r="CO7" s="45" t="b">
        <f>CD7</f>
        <v>0</v>
      </c>
      <c r="CP7" s="2"/>
      <c r="CV7" s="3" t="s">
        <v>34</v>
      </c>
      <c r="CW7" s="57">
        <f t="array" ref="CW7">SUM(Animation!$N19:$N28*CS17:CS26)/CS27</f>
        <v>0.6726413094862197</v>
      </c>
      <c r="CX7" s="57">
        <f t="array" ref="CX7">SUM(Animation!$O19:$O28*CS17:CS26)/CS27</f>
        <v>0.56122757786292909</v>
      </c>
      <c r="CY7" s="57">
        <f t="array" ref="CY7">IF(CO7,SUM(CL17:CL26^2*CS17:CS26)/CS27,CN7)</f>
        <v>1</v>
      </c>
      <c r="CZ7" s="45" t="b">
        <f>CO7</f>
        <v>0</v>
      </c>
      <c r="DA7" s="2"/>
      <c r="DG7" s="3" t="s">
        <v>34</v>
      </c>
      <c r="DH7" s="57">
        <f t="array" ref="DH7">SUM(Animation!$N19:$N28*DD17:DD26)/DD27</f>
        <v>0.68471325030611163</v>
      </c>
      <c r="DI7" s="57">
        <f t="array" ref="DI7">SUM(Animation!$O19:$O28*DD17:DD26)/DD27</f>
        <v>0.63063561292930503</v>
      </c>
      <c r="DJ7" s="57">
        <f t="array" ref="DJ7">IF(CZ7,SUM(CW17:CW26^2*DD17:DD26)/DD27,CY7)</f>
        <v>1</v>
      </c>
      <c r="DK7" s="45" t="b">
        <f>CZ7</f>
        <v>0</v>
      </c>
      <c r="DL7" s="2"/>
      <c r="DR7" s="3" t="s">
        <v>34</v>
      </c>
      <c r="DS7" s="23">
        <f t="array" ref="DS7">SUM(Animation!$N19:$N28*DO17:DO26)/DO27</f>
        <v>0.70474668411789032</v>
      </c>
      <c r="DT7" s="23">
        <f t="array" ref="DT7">SUM(Animation!$O19:$O28*DO17:DO26)/DO27</f>
        <v>0.76345325820103704</v>
      </c>
      <c r="DU7" s="23">
        <f t="array" ref="DU7">IF(DK7,SUM(DH17:DH26^2*DO17:DO26)/DO27,DJ7)</f>
        <v>1</v>
      </c>
      <c r="DV7" s="45" t="b">
        <f>DK7</f>
        <v>0</v>
      </c>
      <c r="DW7" s="2"/>
      <c r="EC7" s="3" t="s">
        <v>34</v>
      </c>
      <c r="ED7" s="57">
        <f t="array" ref="ED7">SUM(Animation!$N19:$N28*DZ17:DZ26)/DZ27</f>
        <v>0.72228566060216481</v>
      </c>
      <c r="EE7" s="57">
        <f t="array" ref="EE7">SUM(Animation!$O19:$O28*DZ17:DZ26)/DZ27</f>
        <v>0.87649472715766197</v>
      </c>
      <c r="EF7" s="57">
        <f t="array" ref="EF7">IF(DV7,SUM(DS17:DS26^2*DZ17:DZ26)/DZ27,DU7)</f>
        <v>1</v>
      </c>
      <c r="EG7" s="45" t="b">
        <f>DV7</f>
        <v>0</v>
      </c>
      <c r="EH7" s="2"/>
      <c r="EN7" s="3" t="s">
        <v>34</v>
      </c>
      <c r="EO7" s="57">
        <f t="array" ref="EO7">SUM(Animation!$N19:$N28*EK17:EK26)/EK27</f>
        <v>0.73617350963964723</v>
      </c>
      <c r="EP7" s="57">
        <f t="array" ref="EP7">SUM(Animation!$O19:$O28*EK17:EK26)/EK27</f>
        <v>0.95882749505433795</v>
      </c>
      <c r="EQ7" s="57">
        <f t="array" ref="EQ7">IF(EG7,SUM(ED17:ED26^2*EK17:EK26)/EK27,EF7)</f>
        <v>1</v>
      </c>
      <c r="ER7" s="45" t="b">
        <f>EG7</f>
        <v>0</v>
      </c>
      <c r="ES7" s="2"/>
      <c r="EY7" s="3" t="s">
        <v>34</v>
      </c>
      <c r="EZ7" s="23">
        <f t="array" ref="EZ7">SUM(Animation!$N19:$N28*EV17:EV26)/EV27</f>
        <v>0.74693888745928461</v>
      </c>
      <c r="FA7" s="23">
        <f t="array" ref="FA7">SUM(Animation!$O19:$O28*EV17:EV26)/EV27</f>
        <v>1.0161374348857886</v>
      </c>
      <c r="FB7" s="23">
        <f t="array" ref="FB7">IF(ER7,SUM(EO17:EO26^2*EV17:EV26)/EV27,EQ7)</f>
        <v>1</v>
      </c>
      <c r="FC7" s="45" t="b">
        <f>ER7</f>
        <v>0</v>
      </c>
      <c r="FD7" s="2"/>
      <c r="FJ7" s="3" t="s">
        <v>34</v>
      </c>
      <c r="FK7" s="57">
        <f t="array" ref="FK7">SUM(Animation!$N19:$N28*FG17:FG26)/FG27</f>
        <v>0.75493480601638285</v>
      </c>
      <c r="FL7" s="57">
        <f t="array" ref="FL7">SUM(Animation!$O19:$O28*FG17:FG26)/FG27</f>
        <v>1.0538819455843051</v>
      </c>
      <c r="FM7" s="57">
        <f t="array" ref="FM7">IF(FC7,SUM(EZ17:EZ26^2*FG17:FG26)/FG27,FB7)</f>
        <v>1</v>
      </c>
      <c r="FN7" s="45" t="b">
        <f>FC7</f>
        <v>0</v>
      </c>
      <c r="FO7" s="2"/>
      <c r="FU7" s="3" t="s">
        <v>34</v>
      </c>
      <c r="FV7" s="23">
        <f t="array" ref="FV7">SUM(Animation!$N19:$N28*FR17:FR26)/FR27</f>
        <v>0.76053348459127135</v>
      </c>
      <c r="FW7" s="23">
        <f t="array" ref="FW7">SUM(Animation!$O19:$O28*FR17:FR26)/FR27</f>
        <v>1.0776150381075791</v>
      </c>
      <c r="FX7" s="23">
        <f t="array" ref="FX7">IF(FN7,SUM(FK17:FK26^2*FR17:FR26)/FR27,FM7)</f>
        <v>1</v>
      </c>
      <c r="FY7" s="45" t="b">
        <f>FN7</f>
        <v>0</v>
      </c>
      <c r="FZ7" s="2"/>
      <c r="GF7" s="3" t="s">
        <v>34</v>
      </c>
      <c r="GG7" s="57">
        <f t="array" ref="GG7">SUM(Animation!$N19:$N28*GC17:GC26)/GC27</f>
        <v>0.76422732728432508</v>
      </c>
      <c r="GH7" s="57">
        <f t="array" ref="GH7">SUM(Animation!$O19:$O28*GC17:GC26)/GC27</f>
        <v>1.0920644271220588</v>
      </c>
      <c r="GI7" s="57">
        <f t="array" ref="GI7">IF(FY7,SUM(FV17:FV26^2*GC17:GC26)/GC27,FX7)</f>
        <v>1</v>
      </c>
      <c r="GJ7" s="45" t="b">
        <f>FY7</f>
        <v>0</v>
      </c>
      <c r="GK7" s="2"/>
      <c r="GQ7" s="3" t="s">
        <v>34</v>
      </c>
      <c r="GR7" s="57">
        <f t="array" ref="GR7">SUM(Animation!$N19:$N28*GN17:GN26)/GN27</f>
        <v>0.76655107136910161</v>
      </c>
      <c r="GS7" s="57">
        <f t="array" ref="GS7">SUM(Animation!$O19:$O28*GN17:GN26)/GN27</f>
        <v>1.1006817728190124</v>
      </c>
      <c r="GT7" s="57">
        <f t="array" ref="GT7">IF(GJ7,SUM(GG17:GG26^2*GN17:GN26)/GN27,GI7)</f>
        <v>1</v>
      </c>
      <c r="GU7" s="45" t="b">
        <f>GJ7</f>
        <v>0</v>
      </c>
      <c r="GV7" s="2"/>
      <c r="HB7" s="3" t="s">
        <v>34</v>
      </c>
      <c r="HC7" s="57">
        <f t="array" ref="HC7">SUM(Animation!$N19:$N28*GY17:GY26)/GY27</f>
        <v>0.76796568137841226</v>
      </c>
      <c r="HD7" s="57">
        <f t="array" ref="HD7">SUM(Animation!$O19:$O28*GY17:GY26)/GY27</f>
        <v>1.1057564020816297</v>
      </c>
      <c r="HE7" s="57">
        <f t="array" ref="HE7">IF(GU7,SUM(GR17:GR26^2*GY17:GY26)/GY27,GT7)</f>
        <v>1</v>
      </c>
      <c r="HF7" s="45" t="b">
        <f>GU7</f>
        <v>0</v>
      </c>
      <c r="HG7" s="2"/>
      <c r="HM7" s="3" t="s">
        <v>34</v>
      </c>
      <c r="HN7" s="23">
        <f t="array" ref="HN7">SUM(Animation!$N19:$N28*HJ17:HJ26)/HJ27</f>
        <v>0.76880911919303829</v>
      </c>
      <c r="HO7" s="23">
        <f t="array" ref="HO7">SUM(Animation!$O19:$O28*HJ17:HJ26)/HJ27</f>
        <v>1.1087223363005023</v>
      </c>
      <c r="HP7" s="23">
        <f t="array" ref="HP7">IF(HF7,SUM(HC17:HC26^2*HJ17:HJ26)/HJ27,HE7)</f>
        <v>1</v>
      </c>
      <c r="HQ7" s="45" t="b">
        <f>HF7</f>
        <v>0</v>
      </c>
      <c r="HR7" s="2"/>
    </row>
    <row r="8" spans="1:231" x14ac:dyDescent="0.25">
      <c r="A8" s="4" t="s">
        <v>2</v>
      </c>
      <c r="B8" s="58">
        <f>Animation!C11</f>
        <v>2</v>
      </c>
      <c r="C8" s="58">
        <f>Animation!D11</f>
        <v>2</v>
      </c>
      <c r="D8" s="58">
        <f>Animation!E11</f>
        <v>1</v>
      </c>
      <c r="E8" s="43"/>
      <c r="H8" s="28"/>
      <c r="I8" s="28"/>
      <c r="J8" s="28"/>
      <c r="L8" s="4" t="s">
        <v>2</v>
      </c>
      <c r="M8" s="58">
        <f t="array" ref="M8">SUM(Animation!$N19:$N28*J17:J26)/J27</f>
        <v>3.1869138994154644</v>
      </c>
      <c r="N8" s="58">
        <f t="array" ref="N8">SUM(Animation!$O19:$O28*J17:J26)/J27</f>
        <v>3.1163116391195405</v>
      </c>
      <c r="O8" s="58">
        <f t="array" ref="O8">IF(E7,SUM(C17:C26^2*J17:J26)/J27,D8)</f>
        <v>1</v>
      </c>
      <c r="P8" s="43"/>
      <c r="W8" s="4" t="s">
        <v>2</v>
      </c>
      <c r="X8" s="58">
        <f t="array" ref="X8">SUM(Animation!$N19:$N28*U17:U26)/U27</f>
        <v>4.4413368173452668</v>
      </c>
      <c r="Y8" s="58">
        <f t="array" ref="Y8">SUM(Animation!$O19:$O28*U17:U26)/U27</f>
        <v>3.4877476489990173</v>
      </c>
      <c r="Z8" s="58">
        <f t="array" ref="Z8">IF(P7,SUM(N17:N26^2*U17:U26)/U27,O8)</f>
        <v>1</v>
      </c>
      <c r="AA8" s="43"/>
      <c r="AH8" s="4" t="s">
        <v>2</v>
      </c>
      <c r="AI8" s="58">
        <f t="array" ref="AI8">SUM(Animation!$N19:$N28*AF17:AF26)/AF27</f>
        <v>4.8783301994994508</v>
      </c>
      <c r="AJ8" s="58">
        <f t="array" ref="AJ8">SUM(Animation!$O19:$O28*AF17:AF26)/AF27</f>
        <v>3.3448039338256206</v>
      </c>
      <c r="AK8" s="58">
        <f t="array" ref="AK8">IF(AA7,SUM(Y17:Y26^2*AF17:AF26)/AF27,Z8)</f>
        <v>1</v>
      </c>
      <c r="AL8" s="43"/>
      <c r="AS8" s="4" t="s">
        <v>2</v>
      </c>
      <c r="AT8" s="58">
        <f t="array" ref="AT8">SUM(Animation!$N19:$N28*AQ17:AQ26)/AQ27</f>
        <v>5.0365029096836462</v>
      </c>
      <c r="AU8" s="58">
        <f t="array" ref="AU8">SUM(Animation!$O19:$O28*AQ17:AQ26)/AQ27</f>
        <v>3.0572970764384162</v>
      </c>
      <c r="AV8" s="58">
        <f t="array" ref="AV8">IF(AL7,SUM(AJ17:AJ26^2*AQ17:AQ26)/AQ27,AK8)</f>
        <v>1</v>
      </c>
      <c r="AW8" s="43"/>
      <c r="BD8" s="4" t="s">
        <v>2</v>
      </c>
      <c r="BE8" s="58">
        <f t="array" ref="BE8">SUM(Animation!$N19:$N28*BB17:BB26)/BB27</f>
        <v>5.1311161872385176</v>
      </c>
      <c r="BF8" s="58">
        <f t="array" ref="BF8">SUM(Animation!$O19:$O28*BB17:BB26)/BB27</f>
        <v>2.6815493179418546</v>
      </c>
      <c r="BG8" s="58">
        <f t="array" ref="BG8">IF(AW7,SUM(AU17:AU26^2*BB17:BB26)/BB27,AV8)</f>
        <v>1</v>
      </c>
      <c r="BH8" s="43"/>
      <c r="BO8" s="4" t="s">
        <v>2</v>
      </c>
      <c r="BP8" s="58">
        <f t="array" ref="BP8">SUM(Animation!$N19:$N28*BM17:BM26)/BM27</f>
        <v>5.1912462290061487</v>
      </c>
      <c r="BQ8" s="58">
        <f t="array" ref="BQ8">SUM(Animation!$O19:$O28*BM17:BM26)/BM27</f>
        <v>2.5146605712420174</v>
      </c>
      <c r="BR8" s="58">
        <f t="array" ref="BR8">IF(BH7,SUM(BF17:BF26^2*BM17:BM26)/BM27,BG8)</f>
        <v>1</v>
      </c>
      <c r="BS8" s="43"/>
      <c r="BZ8" s="4" t="s">
        <v>2</v>
      </c>
      <c r="CA8" s="58">
        <f t="array" ref="CA8">SUM(Animation!$N19:$N28*BX17:BX26)/BX27</f>
        <v>5.21970994387378</v>
      </c>
      <c r="CB8" s="58">
        <f t="array" ref="CB8">SUM(Animation!$O19:$O28*BX17:BX26)/BX27</f>
        <v>2.4246587621192184</v>
      </c>
      <c r="CC8" s="58">
        <f t="array" ref="CC8">IF(BS7,SUM(BQ17:BQ26^2*BX17:BX26)/BX27,BR8)</f>
        <v>1</v>
      </c>
      <c r="CD8" s="43"/>
      <c r="CK8" s="4" t="s">
        <v>2</v>
      </c>
      <c r="CL8" s="24">
        <f t="array" ref="CL8">SUM(Animation!$N19:$N28*CI17:CI26)/CI27</f>
        <v>5.2388531969560175</v>
      </c>
      <c r="CM8" s="24">
        <f t="array" ref="CM8">SUM(Animation!$O19:$O28*CI17:CI26)/CI27</f>
        <v>2.2879644883876971</v>
      </c>
      <c r="CN8" s="24">
        <f t="array" ref="CN8">IF(CD7,SUM(CB17:CB26^2*CI17:CI26)/CI27,CC8)</f>
        <v>1</v>
      </c>
      <c r="CO8" s="43"/>
      <c r="CV8" s="4" t="s">
        <v>2</v>
      </c>
      <c r="CW8" s="58">
        <f t="array" ref="CW8">SUM(Animation!$N19:$N28*CT17:CT26)/CT27</f>
        <v>5.2692114720266519</v>
      </c>
      <c r="CX8" s="58">
        <f t="array" ref="CX8">SUM(Animation!$O19:$O28*CT17:CT26)/CT27</f>
        <v>1.9670021275354224</v>
      </c>
      <c r="CY8" s="58">
        <f t="array" ref="CY8">IF(CO7,SUM(CM17:CM26^2*CT17:CT26)/CT27,CN8)</f>
        <v>1</v>
      </c>
      <c r="CZ8" s="43"/>
      <c r="DG8" s="4" t="s">
        <v>2</v>
      </c>
      <c r="DH8" s="58">
        <f t="array" ref="DH8">SUM(Animation!$N19:$N28*DE17:DE26)/DE27</f>
        <v>5.3161126727729284</v>
      </c>
      <c r="DI8" s="58">
        <f t="array" ref="DI8">SUM(Animation!$O19:$O28*DE17:DE26)/DE27</f>
        <v>1.4427141533371761</v>
      </c>
      <c r="DJ8" s="58">
        <f t="array" ref="DJ8">IF(CZ7,SUM(CX17:CX26^2*DE17:DE26)/DE27,CY8)</f>
        <v>1</v>
      </c>
      <c r="DK8" s="43"/>
      <c r="DR8" s="4" t="s">
        <v>2</v>
      </c>
      <c r="DS8" s="24">
        <f t="array" ref="DS8">SUM(Animation!$N19:$N28*DP17:DP26)/DP27</f>
        <v>5.3307079596620861</v>
      </c>
      <c r="DT8" s="24">
        <f t="array" ref="DT8">SUM(Animation!$O19:$O28*DP17:DP26)/DP27</f>
        <v>1.3370128478915091</v>
      </c>
      <c r="DU8" s="24">
        <f t="array" ref="DU8">IF(DK7,SUM(DI17:DI26^2*DP17:DP26)/DP27,DJ8)</f>
        <v>1</v>
      </c>
      <c r="DV8" s="43"/>
      <c r="EC8" s="4" t="s">
        <v>2</v>
      </c>
      <c r="ED8" s="58">
        <f t="array" ref="ED8">SUM(Animation!$N19:$N28*EA17:EA26)/EA27</f>
        <v>5.3316709354555512</v>
      </c>
      <c r="EE8" s="58">
        <f t="array" ref="EE8">SUM(Animation!$O19:$O28*EA17:EA26)/EA27</f>
        <v>1.3338615841954793</v>
      </c>
      <c r="EF8" s="58">
        <f t="array" ref="EF8">IF(DV7,SUM(DT17:DT26^2*EA17:EA26)/EA27,DU8)</f>
        <v>1</v>
      </c>
      <c r="EG8" s="43"/>
      <c r="EN8" s="4" t="s">
        <v>2</v>
      </c>
      <c r="EO8" s="58">
        <f t="array" ref="EO8">SUM(Animation!$N19:$N28*EL17:EL26)/EL27</f>
        <v>5.3316475641960466</v>
      </c>
      <c r="EP8" s="58">
        <f t="array" ref="EP8">SUM(Animation!$O19:$O28*EL17:EL26)/EL27</f>
        <v>1.3333679224910344</v>
      </c>
      <c r="EQ8" s="58">
        <f t="array" ref="EQ8">IF(EG7,SUM(EE17:EE26^2*EL17:EL26)/EL27,EF8)</f>
        <v>1</v>
      </c>
      <c r="ER8" s="43"/>
      <c r="EY8" s="4" t="s">
        <v>2</v>
      </c>
      <c r="EZ8" s="24">
        <f t="array" ref="EZ8">SUM(Animation!$N19:$N28*EW17:EW26)/EW27</f>
        <v>5.3315517150566638</v>
      </c>
      <c r="FA8" s="24">
        <f t="array" ref="FA8">SUM(Animation!$O19:$O28*EW17:EW26)/EW27</f>
        <v>1.3331143698773171</v>
      </c>
      <c r="FB8" s="24">
        <f t="array" ref="FB8">IF(ER7,SUM(EP17:EP26^2*EW17:EW26)/EW27,EQ8)</f>
        <v>1</v>
      </c>
      <c r="FC8" s="43"/>
      <c r="FJ8" s="4" t="s">
        <v>2</v>
      </c>
      <c r="FK8" s="58">
        <f t="array" ref="FK8">SUM(Animation!$N19:$N28*FH17:FH26)/FH27</f>
        <v>5.3314399741421514</v>
      </c>
      <c r="FL8" s="58">
        <f t="array" ref="FL8">SUM(Animation!$O19:$O28*FH17:FH26)/FH27</f>
        <v>1.3329910199426385</v>
      </c>
      <c r="FM8" s="58">
        <f t="array" ref="FM8">IF(FC7,SUM(FA17:FA26^2*FH17:FH26)/FH27,FB8)</f>
        <v>1</v>
      </c>
      <c r="FN8" s="43"/>
      <c r="FU8" s="4" t="s">
        <v>2</v>
      </c>
      <c r="FV8" s="24">
        <f t="array" ref="FV8">SUM(Animation!$N19:$N28*FS17:FS26)/FS27</f>
        <v>5.3313414133138837</v>
      </c>
      <c r="FW8" s="24">
        <f t="array" ref="FW8">SUM(Animation!$O19:$O28*FS17:FS26)/FS27</f>
        <v>1.3329411420328523</v>
      </c>
      <c r="FX8" s="24">
        <f t="array" ref="FX8">IF(FN7,SUM(FL17:FL26^2*FS17:FS26)/FS27,FM8)</f>
        <v>1</v>
      </c>
      <c r="FY8" s="43"/>
      <c r="GF8" s="4" t="s">
        <v>2</v>
      </c>
      <c r="GG8" s="58">
        <f t="array" ref="GG8">SUM(Animation!$N19:$N28*GD17:GD26)/GD27</f>
        <v>5.331268429323873</v>
      </c>
      <c r="GH8" s="58">
        <f t="array" ref="GH8">SUM(Animation!$O19:$O28*GD17:GD26)/GD27</f>
        <v>1.3329250358162319</v>
      </c>
      <c r="GI8" s="58">
        <f t="array" ref="GI8">IF(FY7,SUM(FW17:FW26^2*GD17:GD26)/GD27,FX8)</f>
        <v>1</v>
      </c>
      <c r="GJ8" s="43"/>
      <c r="GQ8" s="4" t="s">
        <v>2</v>
      </c>
      <c r="GR8" s="58">
        <f t="array" ref="GR8">SUM(Animation!$N19:$N28*GO17:GO26)/GO27</f>
        <v>5.3312198602530714</v>
      </c>
      <c r="GS8" s="58">
        <f t="array" ref="GS8">SUM(Animation!$O19:$O28*GO17:GO26)/GO27</f>
        <v>1.3329215837014505</v>
      </c>
      <c r="GT8" s="58">
        <f t="array" ref="GT8">IF(GJ7,SUM(GH17:GH26^2*GO17:GO26)/GO27,GI8)</f>
        <v>1</v>
      </c>
      <c r="GU8" s="43"/>
      <c r="HB8" s="4" t="s">
        <v>2</v>
      </c>
      <c r="HC8" s="58">
        <f t="array" ref="HC8">SUM(Animation!$N19:$N28*GZ17:GZ26)/GZ27</f>
        <v>5.331189465303189</v>
      </c>
      <c r="HD8" s="58">
        <f t="array" ref="HD8">SUM(Animation!$O19:$O28*GZ17:GZ26)/GZ27</f>
        <v>1.3329219241644599</v>
      </c>
      <c r="HE8" s="58">
        <f t="array" ref="HE8">IF(GU7,SUM(GS17:GS26^2*GZ17:GZ26)/GZ27,GT8)</f>
        <v>1</v>
      </c>
      <c r="HF8" s="43"/>
      <c r="HM8" s="4" t="s">
        <v>2</v>
      </c>
      <c r="HN8" s="24">
        <f t="array" ref="HN8">SUM(Animation!$N19:$N28*HK17:HK26)/HK27</f>
        <v>5.3311710873039564</v>
      </c>
      <c r="HO8" s="24">
        <f t="array" ref="HO8">SUM(Animation!$O19:$O28*HK17:HK26)/HK27</f>
        <v>1.3329229818827504</v>
      </c>
      <c r="HP8" s="24">
        <f t="array" ref="HP8">IF(HF7,SUM(HD17:HD26^2*HK17:HK26)/HK27,HE8)</f>
        <v>1</v>
      </c>
      <c r="HQ8" s="43"/>
    </row>
    <row r="9" spans="1:231" ht="13.8" thickBot="1" x14ac:dyDescent="0.3">
      <c r="A9" s="6" t="s">
        <v>3</v>
      </c>
      <c r="B9" s="59">
        <f>Animation!C12</f>
        <v>-1</v>
      </c>
      <c r="C9" s="59">
        <f>Animation!D12</f>
        <v>5</v>
      </c>
      <c r="D9" s="59">
        <f>Animation!E12</f>
        <v>1</v>
      </c>
      <c r="E9" s="44"/>
      <c r="L9" s="6" t="s">
        <v>3</v>
      </c>
      <c r="M9" s="59">
        <f t="array" ref="M9">SUM(Animation!$N19:$N28*K17:K26)/K27</f>
        <v>1.446199457982293</v>
      </c>
      <c r="N9" s="59">
        <f t="array" ref="N9">SUM(Animation!$O19:$O28*K17:K26)/K27</f>
        <v>3.2597153101584531</v>
      </c>
      <c r="O9" s="59">
        <f t="array" ref="O9">IF(E7,SUM(D17:D26^2*K17:K26)/K27,D9)</f>
        <v>1</v>
      </c>
      <c r="P9" s="44"/>
      <c r="W9" s="6" t="s">
        <v>3</v>
      </c>
      <c r="X9" s="59">
        <f t="array" ref="X9">SUM(Animation!$N19:$N28*V17:V26)/V27</f>
        <v>1.5181560023234819</v>
      </c>
      <c r="Y9" s="59">
        <f t="array" ref="Y9">SUM(Animation!$O19:$O28*V17:V26)/V27</f>
        <v>2.9002434908244417</v>
      </c>
      <c r="Z9" s="59">
        <f t="array" ref="Z9">IF(P7,SUM(O17:O26^2*V17:V26)/V27,O9)</f>
        <v>1</v>
      </c>
      <c r="AA9" s="44"/>
      <c r="AH9" s="6" t="s">
        <v>3</v>
      </c>
      <c r="AI9" s="59">
        <f t="array" ref="AI9">SUM(Animation!$N19:$N28*AG17:AG26)/AG27</f>
        <v>1.5764905996702903</v>
      </c>
      <c r="AJ9" s="59">
        <f t="array" ref="AJ9">SUM(Animation!$O19:$O28*AG17:AG26)/AG27</f>
        <v>2.9416078850682768</v>
      </c>
      <c r="AK9" s="59">
        <f t="array" ref="AK9">IF(AA7,SUM(Z17:Z26^2*AG17:AG26)/AG27,Z9)</f>
        <v>1</v>
      </c>
      <c r="AL9" s="44"/>
      <c r="AS9" s="6" t="s">
        <v>3</v>
      </c>
      <c r="AT9" s="59">
        <f t="array" ref="AT9">SUM(Animation!$N19:$N28*AR17:AR26)/AR27</f>
        <v>1.7152366082504102</v>
      </c>
      <c r="AU9" s="59">
        <f t="array" ref="AU9">SUM(Animation!$O19:$O28*AR17:AR26)/AR27</f>
        <v>3.0868566330059797</v>
      </c>
      <c r="AV9" s="59">
        <f t="array" ref="AV9">IF(AL7,SUM(AK17:AK26^2*AR17:AR26)/AR27,AK9)</f>
        <v>1</v>
      </c>
      <c r="AW9" s="44"/>
      <c r="BD9" s="6" t="s">
        <v>3</v>
      </c>
      <c r="BE9" s="59">
        <f t="array" ref="BE9">SUM(Animation!$N19:$N28*BC17:BC26)/BC27</f>
        <v>1.8360579104018708</v>
      </c>
      <c r="BF9" s="59">
        <f t="array" ref="BF9">SUM(Animation!$O19:$O28*BC17:BC26)/BC27</f>
        <v>3.2340967522600521</v>
      </c>
      <c r="BG9" s="59">
        <f t="array" ref="BG9">IF(AW7,SUM(AV17:AV26^2*BC17:BC26)/BC27,AV9)</f>
        <v>1</v>
      </c>
      <c r="BH9" s="44"/>
      <c r="BO9" s="6" t="s">
        <v>3</v>
      </c>
      <c r="BP9" s="59">
        <f t="array" ref="BP9">SUM(Animation!$N19:$N28*BN17:BN26)/BN27</f>
        <v>1.9455791289216191</v>
      </c>
      <c r="BQ9" s="59">
        <f t="array" ref="BQ9">SUM(Animation!$O19:$O28*BN17:BN26)/BN27</f>
        <v>3.363582551123506</v>
      </c>
      <c r="BR9" s="59">
        <f t="array" ref="BR9">IF(BH7,SUM(BG17:BG26^2*BN17:BN26)/BN27,BG9)</f>
        <v>1</v>
      </c>
      <c r="BS9" s="44"/>
      <c r="BZ9" s="6" t="s">
        <v>3</v>
      </c>
      <c r="CA9" s="59">
        <f t="array" ref="CA9">SUM(Animation!$N19:$N28*BY17:BY26)/BY27</f>
        <v>2.0582866804295707</v>
      </c>
      <c r="CB9" s="59">
        <f t="array" ref="CB9">SUM(Animation!$O19:$O28*BY17:BY26)/BY27</f>
        <v>3.4763423017166062</v>
      </c>
      <c r="CC9" s="59">
        <f t="array" ref="CC9">IF(BS7,SUM(BR17:BR26^2*BY17:BY26)/BY27,BR9)</f>
        <v>1</v>
      </c>
      <c r="CD9" s="44"/>
      <c r="CK9" s="6" t="s">
        <v>3</v>
      </c>
      <c r="CL9" s="25">
        <f t="array" ref="CL9">SUM(Animation!$N19:$N28*CJ17:CJ26)/CJ27</f>
        <v>2.207238325753254</v>
      </c>
      <c r="CM9" s="25">
        <f t="array" ref="CM9">SUM(Animation!$O19:$O28*CJ17:CJ26)/CJ27</f>
        <v>3.6157848083709663</v>
      </c>
      <c r="CN9" s="25">
        <f t="array" ref="CN9">IF(CD7,SUM(CC17:CC26^2*CJ17:CJ26)/CJ27,CC9)</f>
        <v>1</v>
      </c>
      <c r="CO9" s="44"/>
      <c r="CV9" s="6" t="s">
        <v>3</v>
      </c>
      <c r="CW9" s="59">
        <f t="array" ref="CW9">SUM(Animation!$N19:$N28*CU17:CU26)/CU27</f>
        <v>2.4698349586684976</v>
      </c>
      <c r="CX9" s="59">
        <f t="array" ref="CX9">SUM(Animation!$O19:$O28*CU17:CU26)/CU27</f>
        <v>3.8492181977754587</v>
      </c>
      <c r="CY9" s="59">
        <f t="array" ref="CY9">IF(CO7,SUM(CN17:CN26^2*CU17:CU26)/CU27,CN9)</f>
        <v>1</v>
      </c>
      <c r="CZ9" s="44"/>
      <c r="DG9" s="6" t="s">
        <v>3</v>
      </c>
      <c r="DH9" s="59">
        <f t="array" ref="DH9">SUM(Animation!$N19:$N28*DF17:DF26)/DF27</f>
        <v>2.7795718855257436</v>
      </c>
      <c r="DI9" s="59">
        <f t="array" ref="DI9">SUM(Animation!$O19:$O28*DF17:DF26)/DF27</f>
        <v>4.1161008861407709</v>
      </c>
      <c r="DJ9" s="59">
        <f t="array" ref="DJ9">IF(CZ7,SUM(CY17:CY26^2*DF17:DF26)/DF27,CY9)</f>
        <v>1</v>
      </c>
      <c r="DK9" s="44"/>
      <c r="DR9" s="6" t="s">
        <v>3</v>
      </c>
      <c r="DS9" s="25">
        <f t="array" ref="DS9">SUM(Animation!$N19:$N28*DQ17:DQ26)/DQ27</f>
        <v>2.9175730881730182</v>
      </c>
      <c r="DT9" s="25">
        <f t="array" ref="DT9">SUM(Animation!$O19:$O28*DQ17:DQ26)/DQ27</f>
        <v>4.2171451983796189</v>
      </c>
      <c r="DU9" s="25">
        <f t="array" ref="DU9">IF(DK7,SUM(DJ17:DJ26^2*DQ17:DQ26)/DQ27,DJ9)</f>
        <v>1</v>
      </c>
      <c r="DV9" s="44"/>
      <c r="EC9" s="6" t="s">
        <v>3</v>
      </c>
      <c r="ED9" s="59">
        <f t="array" ref="ED9">SUM(Animation!$N19:$N28*EB17:EB26)/EB27</f>
        <v>3.015615425308245</v>
      </c>
      <c r="EE9" s="59">
        <f t="array" ref="EE9">SUM(Animation!$O19:$O28*EB17:EB26)/EB27</f>
        <v>4.2798493026708053</v>
      </c>
      <c r="EF9" s="59">
        <f t="array" ref="EF9">IF(DV7,SUM(DU17:DU26^2*EB17:EB26)/EB27,DU9)</f>
        <v>1</v>
      </c>
      <c r="EG9" s="44"/>
      <c r="EN9" s="6" t="s">
        <v>3</v>
      </c>
      <c r="EO9" s="59">
        <f t="array" ref="EO9">SUM(Animation!$N19:$N28*EM17:EM26)/EM27</f>
        <v>3.0975839567524934</v>
      </c>
      <c r="EP9" s="59">
        <f t="array" ref="EP9">SUM(Animation!$O19:$O28*EM17:EM26)/EM27</f>
        <v>4.3322116816244458</v>
      </c>
      <c r="EQ9" s="59">
        <f t="array" ref="EQ9">IF(EG7,SUM(EF17:EF26^2*EM17:EM26)/EM27,EF9)</f>
        <v>1</v>
      </c>
      <c r="ER9" s="44"/>
      <c r="EY9" s="6" t="s">
        <v>3</v>
      </c>
      <c r="EZ9" s="25">
        <f t="array" ref="EZ9">SUM(Animation!$N19:$N28*EX17:EX26)/EX27</f>
        <v>3.1608411690057738</v>
      </c>
      <c r="FA9" s="25">
        <f t="array" ref="FA9">SUM(Animation!$O19:$O28*EX17:EX26)/EX27</f>
        <v>4.3726668572553749</v>
      </c>
      <c r="FB9" s="25">
        <f t="array" ref="FB9">IF(ER7,SUM(EQ17:EQ26^2*EX17:EX26)/EX27,EQ9)</f>
        <v>1</v>
      </c>
      <c r="FC9" s="44"/>
      <c r="FJ9" s="6" t="s">
        <v>3</v>
      </c>
      <c r="FK9" s="59">
        <f t="array" ref="FK9">SUM(Animation!$N19:$N28*FI17:FI26)/FI27</f>
        <v>3.204947770315572</v>
      </c>
      <c r="FL9" s="59">
        <f t="array" ref="FL9">SUM(Animation!$O19:$O28*FI17:FI26)/FI27</f>
        <v>4.4009933217900885</v>
      </c>
      <c r="FM9" s="59">
        <f t="array" ref="FM9">IF(FC7,SUM(FB17:FB26^2*FI17:FI26)/FI27,FB9)</f>
        <v>1</v>
      </c>
      <c r="FN9" s="44"/>
      <c r="FU9" s="6" t="s">
        <v>3</v>
      </c>
      <c r="FV9" s="25">
        <f t="array" ref="FV9">SUM(Animation!$N19:$N28*FT17:FT26)/FT27</f>
        <v>3.2333441892354808</v>
      </c>
      <c r="FW9" s="25">
        <f t="array" ref="FW9">SUM(Animation!$O19:$O28*FT17:FT26)/FT27</f>
        <v>4.4193405442882545</v>
      </c>
      <c r="FX9" s="25">
        <f t="array" ref="FX9">IF(FN7,SUM(FM17:FM26^2*FT17:FT26)/FT27,FM9)</f>
        <v>1</v>
      </c>
      <c r="FY9" s="44"/>
      <c r="GF9" s="6" t="s">
        <v>3</v>
      </c>
      <c r="GG9" s="59">
        <f t="array" ref="GG9">SUM(Animation!$N19:$N28*GE17:GE26)/GE27</f>
        <v>3.2507394887587284</v>
      </c>
      <c r="GH9" s="59">
        <f t="array" ref="GH9">SUM(Animation!$O19:$O28*GE17:GE26)/GE27</f>
        <v>4.430647650306458</v>
      </c>
      <c r="GI9" s="59">
        <f t="array" ref="GI9">IF(FY7,SUM(FX17:FX26^2*GE17:GE26)/GE27,FX9)</f>
        <v>1</v>
      </c>
      <c r="GJ9" s="44"/>
      <c r="GQ9" s="6" t="s">
        <v>3</v>
      </c>
      <c r="GR9" s="59">
        <f t="array" ref="GR9">SUM(Animation!$N19:$N28*GP17:GP26)/GP27</f>
        <v>3.2611097523671471</v>
      </c>
      <c r="GS9" s="59">
        <f t="array" ref="GS9">SUM(Animation!$O19:$O28*GP17:GP26)/GP27</f>
        <v>4.4374211090399331</v>
      </c>
      <c r="GT9" s="59">
        <f t="array" ref="GT9">IF(GJ7,SUM(GI17:GI26^2*GP17:GP26)/GP27,GI9)</f>
        <v>1</v>
      </c>
      <c r="GU9" s="44"/>
      <c r="HB9" s="6" t="s">
        <v>3</v>
      </c>
      <c r="HC9" s="59">
        <f t="array" ref="HC9">SUM(Animation!$N19:$N28*HA17:HA26)/HA27</f>
        <v>3.2672052100775519</v>
      </c>
      <c r="HD9" s="59">
        <f t="array" ref="HD9">SUM(Animation!$O19:$O28*HA17:HA26)/HA27</f>
        <v>4.4414159832567321</v>
      </c>
      <c r="HE9" s="59">
        <f t="array" ref="HE9">IF(GU7,SUM(GT17:GT26^2*HA17:HA26)/HA27,GT9)</f>
        <v>1</v>
      </c>
      <c r="HF9" s="44"/>
      <c r="HM9" s="6" t="s">
        <v>3</v>
      </c>
      <c r="HN9" s="25">
        <f t="array" ref="HN9">SUM(Animation!$N19:$N28*HL17:HL26)/HL27</f>
        <v>3.2707617309702215</v>
      </c>
      <c r="HO9" s="25">
        <f t="array" ref="HO9">SUM(Animation!$O19:$O28*HL17:HL26)/HL27</f>
        <v>4.4437520092340739</v>
      </c>
      <c r="HP9" s="25">
        <f t="array" ref="HP9">IF(HF7,SUM(HE17:HE26^2*HL17:HL26)/HL27,HE9)</f>
        <v>1</v>
      </c>
      <c r="HQ9" s="44"/>
    </row>
    <row r="10" spans="1:231" s="2" customFormat="1" ht="13.8" thickTop="1" x14ac:dyDescent="0.25">
      <c r="A10"/>
      <c r="K10"/>
      <c r="L10"/>
      <c r="V10"/>
      <c r="W10"/>
      <c r="AG10"/>
      <c r="AH10"/>
      <c r="AR10"/>
      <c r="AS10"/>
      <c r="BC10"/>
      <c r="BD10"/>
      <c r="BO10"/>
      <c r="BZ10"/>
      <c r="CK10"/>
      <c r="CV10"/>
      <c r="DG10"/>
      <c r="DR10"/>
      <c r="EC10"/>
      <c r="EN10"/>
      <c r="EY10"/>
      <c r="FJ10"/>
      <c r="FU10"/>
      <c r="GF10"/>
      <c r="GQ10"/>
      <c r="HB10"/>
      <c r="HM10"/>
    </row>
    <row r="11" spans="1:231" s="2" customFormat="1" ht="12.75" customHeight="1" x14ac:dyDescent="0.25">
      <c r="A11" s="68">
        <v>0</v>
      </c>
      <c r="B11" s="79" t="s">
        <v>20</v>
      </c>
      <c r="C11" s="84"/>
      <c r="D11" s="84"/>
      <c r="L11" s="68">
        <f>A11+1</f>
        <v>1</v>
      </c>
      <c r="M11" s="79" t="s">
        <v>31</v>
      </c>
      <c r="N11" s="80"/>
      <c r="O11" s="80"/>
      <c r="W11" s="68">
        <f>L11+1</f>
        <v>2</v>
      </c>
      <c r="X11" s="79" t="s">
        <v>20</v>
      </c>
      <c r="Y11" s="80"/>
      <c r="Z11" s="80"/>
      <c r="AH11" s="68">
        <f>W11+1</f>
        <v>3</v>
      </c>
      <c r="AI11" s="79" t="s">
        <v>20</v>
      </c>
      <c r="AJ11" s="80"/>
      <c r="AK11" s="80"/>
      <c r="AS11" s="68">
        <f>AH11+1</f>
        <v>4</v>
      </c>
      <c r="AT11" s="79" t="s">
        <v>20</v>
      </c>
      <c r="AU11" s="80"/>
      <c r="AV11" s="80"/>
      <c r="BD11" s="68">
        <f>AS11+1</f>
        <v>5</v>
      </c>
      <c r="BE11" s="79" t="s">
        <v>20</v>
      </c>
      <c r="BF11" s="80"/>
      <c r="BG11" s="80"/>
      <c r="BO11" s="68">
        <f>BD11+1</f>
        <v>6</v>
      </c>
      <c r="BP11" s="79" t="s">
        <v>20</v>
      </c>
      <c r="BQ11" s="80"/>
      <c r="BR11" s="80"/>
      <c r="BZ11" s="68">
        <f>BO11+1</f>
        <v>7</v>
      </c>
      <c r="CA11" s="79" t="s">
        <v>20</v>
      </c>
      <c r="CB11" s="80"/>
      <c r="CC11" s="80"/>
      <c r="CK11" s="68">
        <f>BZ11+1</f>
        <v>8</v>
      </c>
      <c r="CL11" s="79" t="s">
        <v>20</v>
      </c>
      <c r="CM11" s="80"/>
      <c r="CN11" s="80"/>
      <c r="CV11" s="68">
        <f>CK11+1</f>
        <v>9</v>
      </c>
      <c r="CW11" s="79" t="s">
        <v>20</v>
      </c>
      <c r="CX11" s="80"/>
      <c r="CY11" s="80"/>
      <c r="DG11" s="68">
        <f>CV11+1</f>
        <v>10</v>
      </c>
      <c r="DH11" s="79" t="s">
        <v>20</v>
      </c>
      <c r="DI11" s="80"/>
      <c r="DJ11" s="80"/>
      <c r="DR11" s="68">
        <f>DG11+1</f>
        <v>11</v>
      </c>
      <c r="DS11" s="79" t="s">
        <v>20</v>
      </c>
      <c r="DT11" s="80"/>
      <c r="DU11" s="80"/>
      <c r="EC11" s="68">
        <f>DR11+1</f>
        <v>12</v>
      </c>
      <c r="ED11" s="79" t="s">
        <v>20</v>
      </c>
      <c r="EE11" s="80"/>
      <c r="EF11" s="80"/>
      <c r="EN11" s="68">
        <f>EC11+1</f>
        <v>13</v>
      </c>
      <c r="EO11" s="79" t="s">
        <v>20</v>
      </c>
      <c r="EP11" s="80"/>
      <c r="EQ11" s="80"/>
      <c r="EY11" s="68">
        <f>EN11+1</f>
        <v>14</v>
      </c>
      <c r="EZ11" s="79" t="s">
        <v>20</v>
      </c>
      <c r="FA11" s="80"/>
      <c r="FB11" s="80"/>
      <c r="FJ11" s="68">
        <f>EY11+1</f>
        <v>15</v>
      </c>
      <c r="FK11" s="79" t="s">
        <v>20</v>
      </c>
      <c r="FL11" s="80"/>
      <c r="FM11" s="80"/>
      <c r="FU11" s="68">
        <f>FJ11+1</f>
        <v>16</v>
      </c>
      <c r="FV11" s="79" t="s">
        <v>20</v>
      </c>
      <c r="FW11" s="80"/>
      <c r="FX11" s="80"/>
      <c r="GF11" s="68">
        <f>FU11+1</f>
        <v>17</v>
      </c>
      <c r="GG11" s="79" t="s">
        <v>20</v>
      </c>
      <c r="GH11" s="80"/>
      <c r="GI11" s="80"/>
      <c r="GQ11" s="68">
        <f>GF11+1</f>
        <v>18</v>
      </c>
      <c r="GR11" s="79" t="s">
        <v>20</v>
      </c>
      <c r="GS11" s="80"/>
      <c r="GT11" s="80"/>
      <c r="HB11" s="68">
        <f>GQ11+1</f>
        <v>19</v>
      </c>
      <c r="HC11" s="79" t="s">
        <v>20</v>
      </c>
      <c r="HD11" s="80"/>
      <c r="HE11" s="80"/>
      <c r="HM11" s="68">
        <f>HB11+1</f>
        <v>20</v>
      </c>
      <c r="HN11" s="79" t="s">
        <v>20</v>
      </c>
      <c r="HO11" s="80"/>
      <c r="HP11" s="80"/>
    </row>
    <row r="12" spans="1:231" s="2" customFormat="1" ht="12.75" customHeight="1" x14ac:dyDescent="0.25">
      <c r="A12" s="84"/>
      <c r="B12" s="84"/>
      <c r="C12" s="84"/>
      <c r="D12" s="84"/>
      <c r="L12" s="68"/>
      <c r="M12" s="79"/>
      <c r="N12" s="80"/>
      <c r="O12" s="80"/>
      <c r="W12" s="68"/>
      <c r="X12" s="79"/>
      <c r="Y12" s="80"/>
      <c r="Z12" s="80"/>
      <c r="AH12" s="68"/>
      <c r="AI12" s="79"/>
      <c r="AJ12" s="80"/>
      <c r="AK12" s="80"/>
      <c r="AS12" s="68"/>
      <c r="AT12" s="79"/>
      <c r="AU12" s="80"/>
      <c r="AV12" s="80"/>
      <c r="BD12" s="68"/>
      <c r="BE12" s="79"/>
      <c r="BF12" s="80"/>
      <c r="BG12" s="80"/>
      <c r="BO12" s="68"/>
      <c r="BP12" s="79"/>
      <c r="BQ12" s="80"/>
      <c r="BR12" s="80"/>
      <c r="BZ12" s="68"/>
      <c r="CA12" s="79"/>
      <c r="CB12" s="80"/>
      <c r="CC12" s="80"/>
      <c r="CK12" s="68"/>
      <c r="CL12" s="79"/>
      <c r="CM12" s="80"/>
      <c r="CN12" s="80"/>
      <c r="CV12" s="68"/>
      <c r="CW12" s="79"/>
      <c r="CX12" s="80"/>
      <c r="CY12" s="80"/>
      <c r="DG12" s="68"/>
      <c r="DH12" s="79"/>
      <c r="DI12" s="80"/>
      <c r="DJ12" s="80"/>
      <c r="DR12" s="68"/>
      <c r="DS12" s="79"/>
      <c r="DT12" s="80"/>
      <c r="DU12" s="80"/>
      <c r="EC12" s="68"/>
      <c r="ED12" s="79"/>
      <c r="EE12" s="80"/>
      <c r="EF12" s="80"/>
      <c r="EN12" s="68"/>
      <c r="EO12" s="79"/>
      <c r="EP12" s="80"/>
      <c r="EQ12" s="80"/>
      <c r="EY12" s="68"/>
      <c r="EZ12" s="79"/>
      <c r="FA12" s="80"/>
      <c r="FB12" s="80"/>
      <c r="FJ12" s="68"/>
      <c r="FK12" s="79"/>
      <c r="FL12" s="80"/>
      <c r="FM12" s="80"/>
      <c r="FU12" s="68"/>
      <c r="FV12" s="79"/>
      <c r="FW12" s="80"/>
      <c r="FX12" s="80"/>
      <c r="GF12" s="68"/>
      <c r="GG12" s="79"/>
      <c r="GH12" s="80"/>
      <c r="GI12" s="80"/>
      <c r="GQ12" s="68"/>
      <c r="GR12" s="79"/>
      <c r="GS12" s="80"/>
      <c r="GT12" s="80"/>
      <c r="HB12" s="68"/>
      <c r="HC12" s="79"/>
      <c r="HD12" s="80"/>
      <c r="HE12" s="80"/>
      <c r="HM12" s="68"/>
      <c r="HN12" s="79"/>
      <c r="HO12" s="80"/>
      <c r="HP12" s="80"/>
    </row>
    <row r="13" spans="1:231" s="2" customFormat="1" ht="13.5" customHeight="1" x14ac:dyDescent="0.25">
      <c r="A13" s="84"/>
      <c r="B13" s="84"/>
      <c r="C13" s="84"/>
      <c r="D13" s="84"/>
      <c r="L13" s="68"/>
      <c r="M13" s="80"/>
      <c r="N13" s="80"/>
      <c r="O13" s="80"/>
      <c r="W13" s="68"/>
      <c r="X13" s="80"/>
      <c r="Y13" s="80"/>
      <c r="Z13" s="80"/>
      <c r="AH13" s="68"/>
      <c r="AI13" s="80"/>
      <c r="AJ13" s="80"/>
      <c r="AK13" s="80"/>
      <c r="AS13" s="68"/>
      <c r="AT13" s="80"/>
      <c r="AU13" s="80"/>
      <c r="AV13" s="80"/>
      <c r="BD13" s="68"/>
      <c r="BE13" s="80"/>
      <c r="BF13" s="80"/>
      <c r="BG13" s="80"/>
      <c r="BO13" s="68"/>
      <c r="BP13" s="80"/>
      <c r="BQ13" s="80"/>
      <c r="BR13" s="80"/>
      <c r="BZ13" s="68"/>
      <c r="CA13" s="80"/>
      <c r="CB13" s="80"/>
      <c r="CC13" s="80"/>
      <c r="CK13" s="68"/>
      <c r="CL13" s="80"/>
      <c r="CM13" s="80"/>
      <c r="CN13" s="80"/>
      <c r="CV13" s="68"/>
      <c r="CW13" s="80"/>
      <c r="CX13" s="80"/>
      <c r="CY13" s="80"/>
      <c r="DG13" s="68"/>
      <c r="DH13" s="80"/>
      <c r="DI13" s="80"/>
      <c r="DJ13" s="80"/>
      <c r="DR13" s="68"/>
      <c r="DS13" s="80"/>
      <c r="DT13" s="80"/>
      <c r="DU13" s="80"/>
      <c r="EC13" s="68"/>
      <c r="ED13" s="80"/>
      <c r="EE13" s="80"/>
      <c r="EF13" s="80"/>
      <c r="EN13" s="68"/>
      <c r="EO13" s="80"/>
      <c r="EP13" s="80"/>
      <c r="EQ13" s="80"/>
      <c r="EY13" s="68"/>
      <c r="EZ13" s="80"/>
      <c r="FA13" s="80"/>
      <c r="FB13" s="80"/>
      <c r="FJ13" s="68"/>
      <c r="FK13" s="80"/>
      <c r="FL13" s="80"/>
      <c r="FM13" s="80"/>
      <c r="FU13" s="68"/>
      <c r="FV13" s="80"/>
      <c r="FW13" s="80"/>
      <c r="FX13" s="80"/>
      <c r="GF13" s="68"/>
      <c r="GG13" s="80"/>
      <c r="GH13" s="80"/>
      <c r="GI13" s="80"/>
      <c r="GQ13" s="68"/>
      <c r="GR13" s="80"/>
      <c r="GS13" s="80"/>
      <c r="GT13" s="80"/>
      <c r="HB13" s="68"/>
      <c r="HC13" s="80"/>
      <c r="HD13" s="80"/>
      <c r="HE13" s="80"/>
      <c r="HM13" s="68"/>
      <c r="HN13" s="80"/>
      <c r="HO13" s="80"/>
      <c r="HP13" s="80"/>
    </row>
    <row r="14" spans="1:231" ht="12.75" customHeight="1" x14ac:dyDescent="0.25">
      <c r="A14" s="5"/>
      <c r="B14" s="5"/>
      <c r="E14" s="34" t="s">
        <v>22</v>
      </c>
      <c r="F14" s="2"/>
      <c r="G14" s="2"/>
      <c r="H14" s="35"/>
      <c r="I14" s="29" t="s">
        <v>16</v>
      </c>
    </row>
    <row r="15" spans="1:231" ht="15.75" customHeight="1" x14ac:dyDescent="0.3">
      <c r="B15" s="14" t="s">
        <v>7</v>
      </c>
      <c r="C15" s="12"/>
      <c r="D15" s="12"/>
      <c r="E15" s="17" t="s">
        <v>15</v>
      </c>
      <c r="F15" s="12"/>
      <c r="G15" s="12"/>
      <c r="I15" s="31" t="s">
        <v>8</v>
      </c>
      <c r="J15" s="32"/>
      <c r="K15" s="32"/>
      <c r="M15" s="14" t="s">
        <v>7</v>
      </c>
      <c r="N15" s="12"/>
      <c r="O15" s="12"/>
      <c r="P15" s="17" t="s">
        <v>15</v>
      </c>
      <c r="Q15" s="12"/>
      <c r="R15" s="12"/>
      <c r="T15" s="31" t="s">
        <v>8</v>
      </c>
      <c r="U15" s="32"/>
      <c r="V15" s="32"/>
      <c r="X15" s="14" t="s">
        <v>7</v>
      </c>
      <c r="Y15" s="12"/>
      <c r="Z15" s="12"/>
      <c r="AA15" s="17" t="s">
        <v>15</v>
      </c>
      <c r="AB15" s="12"/>
      <c r="AC15" s="12"/>
      <c r="AE15" s="31" t="s">
        <v>8</v>
      </c>
      <c r="AF15" s="32"/>
      <c r="AG15" s="32"/>
      <c r="AI15" s="14" t="s">
        <v>7</v>
      </c>
      <c r="AJ15" s="12"/>
      <c r="AK15" s="12"/>
      <c r="AL15" s="17" t="s">
        <v>15</v>
      </c>
      <c r="AM15" s="12"/>
      <c r="AN15" s="12"/>
      <c r="AP15" s="31" t="s">
        <v>8</v>
      </c>
      <c r="AQ15" s="32"/>
      <c r="AR15" s="32"/>
      <c r="AT15" s="14" t="s">
        <v>7</v>
      </c>
      <c r="AU15" s="12"/>
      <c r="AV15" s="12"/>
      <c r="AW15" s="17" t="s">
        <v>15</v>
      </c>
      <c r="AX15" s="12"/>
      <c r="AY15" s="12"/>
      <c r="BA15" s="31" t="s">
        <v>8</v>
      </c>
      <c r="BB15" s="32"/>
      <c r="BC15" s="32"/>
      <c r="BE15" s="14" t="s">
        <v>7</v>
      </c>
      <c r="BF15" s="12"/>
      <c r="BG15" s="12"/>
      <c r="BH15" s="17" t="s">
        <v>15</v>
      </c>
      <c r="BI15" s="12"/>
      <c r="BJ15" s="12"/>
      <c r="BL15" s="31" t="s">
        <v>8</v>
      </c>
      <c r="BM15" s="32"/>
      <c r="BN15" s="32"/>
      <c r="BP15" s="14" t="s">
        <v>7</v>
      </c>
      <c r="BQ15" s="12"/>
      <c r="BR15" s="12"/>
      <c r="BS15" s="17" t="s">
        <v>15</v>
      </c>
      <c r="BT15" s="12"/>
      <c r="BU15" s="12"/>
      <c r="BW15" s="31" t="s">
        <v>8</v>
      </c>
      <c r="BX15" s="32"/>
      <c r="BY15" s="32"/>
      <c r="CA15" s="14" t="s">
        <v>7</v>
      </c>
      <c r="CB15" s="12"/>
      <c r="CC15" s="12"/>
      <c r="CD15" s="17" t="s">
        <v>15</v>
      </c>
      <c r="CE15" s="12"/>
      <c r="CF15" s="12"/>
      <c r="CH15" s="31" t="s">
        <v>8</v>
      </c>
      <c r="CI15" s="32"/>
      <c r="CJ15" s="32"/>
      <c r="CL15" s="14" t="s">
        <v>7</v>
      </c>
      <c r="CM15" s="12"/>
      <c r="CN15" s="12"/>
      <c r="CO15" s="17" t="s">
        <v>15</v>
      </c>
      <c r="CP15" s="12"/>
      <c r="CQ15" s="12"/>
      <c r="CS15" s="31" t="s">
        <v>8</v>
      </c>
      <c r="CT15" s="32"/>
      <c r="CU15" s="32"/>
      <c r="CW15" s="14" t="s">
        <v>7</v>
      </c>
      <c r="CX15" s="12"/>
      <c r="CY15" s="12"/>
      <c r="CZ15" s="17" t="s">
        <v>15</v>
      </c>
      <c r="DA15" s="12"/>
      <c r="DB15" s="12"/>
      <c r="DD15" s="31" t="s">
        <v>8</v>
      </c>
      <c r="DE15" s="32"/>
      <c r="DF15" s="32"/>
      <c r="DH15" s="14" t="s">
        <v>7</v>
      </c>
      <c r="DI15" s="12"/>
      <c r="DJ15" s="12"/>
      <c r="DK15" s="17" t="s">
        <v>15</v>
      </c>
      <c r="DL15" s="12"/>
      <c r="DM15" s="12"/>
      <c r="DO15" s="31" t="s">
        <v>8</v>
      </c>
      <c r="DP15" s="32"/>
      <c r="DQ15" s="32"/>
      <c r="DS15" s="14" t="s">
        <v>7</v>
      </c>
      <c r="DT15" s="12"/>
      <c r="DU15" s="12"/>
      <c r="DV15" s="17" t="s">
        <v>15</v>
      </c>
      <c r="DW15" s="12"/>
      <c r="DX15" s="12"/>
      <c r="DZ15" s="31" t="s">
        <v>8</v>
      </c>
      <c r="EA15" s="32"/>
      <c r="EB15" s="32"/>
      <c r="ED15" s="14" t="s">
        <v>7</v>
      </c>
      <c r="EE15" s="12"/>
      <c r="EF15" s="12"/>
      <c r="EG15" s="17" t="s">
        <v>15</v>
      </c>
      <c r="EH15" s="12"/>
      <c r="EI15" s="12"/>
      <c r="EK15" s="31" t="s">
        <v>8</v>
      </c>
      <c r="EL15" s="32"/>
      <c r="EM15" s="32"/>
      <c r="EO15" s="14" t="s">
        <v>7</v>
      </c>
      <c r="EP15" s="12"/>
      <c r="EQ15" s="12"/>
      <c r="ER15" s="17" t="s">
        <v>15</v>
      </c>
      <c r="ES15" s="12"/>
      <c r="ET15" s="12"/>
      <c r="EV15" s="31" t="s">
        <v>8</v>
      </c>
      <c r="EW15" s="32"/>
      <c r="EX15" s="32"/>
      <c r="EZ15" s="14" t="s">
        <v>7</v>
      </c>
      <c r="FA15" s="12"/>
      <c r="FB15" s="12"/>
      <c r="FC15" s="17" t="s">
        <v>15</v>
      </c>
      <c r="FD15" s="12"/>
      <c r="FE15" s="12"/>
      <c r="FG15" s="31" t="s">
        <v>8</v>
      </c>
      <c r="FH15" s="32"/>
      <c r="FI15" s="32"/>
      <c r="FK15" s="14" t="s">
        <v>7</v>
      </c>
      <c r="FL15" s="12"/>
      <c r="FM15" s="12"/>
      <c r="FN15" s="17" t="s">
        <v>15</v>
      </c>
      <c r="FO15" s="12"/>
      <c r="FP15" s="12"/>
      <c r="FR15" s="31" t="s">
        <v>8</v>
      </c>
      <c r="FS15" s="32"/>
      <c r="FT15" s="32"/>
      <c r="FV15" s="14" t="s">
        <v>7</v>
      </c>
      <c r="FW15" s="12"/>
      <c r="FX15" s="12"/>
      <c r="FY15" s="17" t="s">
        <v>15</v>
      </c>
      <c r="FZ15" s="12"/>
      <c r="GA15" s="12"/>
      <c r="GC15" s="31" t="s">
        <v>8</v>
      </c>
      <c r="GD15" s="32"/>
      <c r="GE15" s="32"/>
      <c r="GG15" s="14" t="s">
        <v>7</v>
      </c>
      <c r="GH15" s="12"/>
      <c r="GI15" s="12"/>
      <c r="GJ15" s="17" t="s">
        <v>15</v>
      </c>
      <c r="GK15" s="12"/>
      <c r="GL15" s="12"/>
      <c r="GN15" s="31" t="s">
        <v>8</v>
      </c>
      <c r="GO15" s="32"/>
      <c r="GP15" s="32"/>
      <c r="GR15" s="14" t="s">
        <v>7</v>
      </c>
      <c r="GS15" s="12"/>
      <c r="GT15" s="12"/>
      <c r="GU15" s="17" t="s">
        <v>15</v>
      </c>
      <c r="GV15" s="12"/>
      <c r="GW15" s="12"/>
      <c r="GY15" s="31" t="s">
        <v>8</v>
      </c>
      <c r="GZ15" s="32"/>
      <c r="HA15" s="32"/>
      <c r="HC15" s="14" t="s">
        <v>7</v>
      </c>
      <c r="HD15" s="12"/>
      <c r="HE15" s="12"/>
      <c r="HF15" s="17" t="s">
        <v>15</v>
      </c>
      <c r="HG15" s="12"/>
      <c r="HH15" s="12"/>
      <c r="HJ15" s="31" t="s">
        <v>8</v>
      </c>
      <c r="HK15" s="32"/>
      <c r="HL15" s="32"/>
      <c r="HN15" s="14" t="s">
        <v>7</v>
      </c>
      <c r="HO15" s="12"/>
      <c r="HP15" s="12"/>
      <c r="HQ15" s="17" t="s">
        <v>15</v>
      </c>
      <c r="HR15" s="12"/>
      <c r="HS15" s="12"/>
      <c r="HU15" s="31" t="s">
        <v>8</v>
      </c>
      <c r="HV15" s="32"/>
      <c r="HW15" s="32"/>
    </row>
    <row r="16" spans="1:231" x14ac:dyDescent="0.25">
      <c r="B16" s="15" t="s">
        <v>4</v>
      </c>
      <c r="C16" s="1" t="s">
        <v>5</v>
      </c>
      <c r="D16" s="1" t="s">
        <v>6</v>
      </c>
      <c r="E16" s="18" t="s">
        <v>10</v>
      </c>
      <c r="F16" s="1" t="s">
        <v>11</v>
      </c>
      <c r="G16" s="1" t="s">
        <v>12</v>
      </c>
      <c r="H16" s="1" t="s">
        <v>13</v>
      </c>
      <c r="I16" s="18" t="s">
        <v>14</v>
      </c>
      <c r="J16" s="1" t="s">
        <v>17</v>
      </c>
      <c r="K16" s="1" t="s">
        <v>18</v>
      </c>
      <c r="M16" s="15" t="s">
        <v>4</v>
      </c>
      <c r="N16" s="1" t="s">
        <v>5</v>
      </c>
      <c r="O16" s="1" t="s">
        <v>6</v>
      </c>
      <c r="P16" s="18" t="s">
        <v>10</v>
      </c>
      <c r="Q16" s="1" t="s">
        <v>11</v>
      </c>
      <c r="R16" s="1" t="s">
        <v>12</v>
      </c>
      <c r="S16" s="1" t="s">
        <v>13</v>
      </c>
      <c r="T16" s="18" t="s">
        <v>14</v>
      </c>
      <c r="U16" s="1" t="s">
        <v>17</v>
      </c>
      <c r="V16" s="1" t="s">
        <v>18</v>
      </c>
      <c r="X16" s="15" t="s">
        <v>4</v>
      </c>
      <c r="Y16" s="1" t="s">
        <v>5</v>
      </c>
      <c r="Z16" s="1" t="s">
        <v>6</v>
      </c>
      <c r="AA16" s="18" t="s">
        <v>10</v>
      </c>
      <c r="AB16" s="1" t="s">
        <v>11</v>
      </c>
      <c r="AC16" s="1" t="s">
        <v>12</v>
      </c>
      <c r="AD16" s="1" t="s">
        <v>13</v>
      </c>
      <c r="AE16" s="18" t="s">
        <v>14</v>
      </c>
      <c r="AF16" s="1" t="s">
        <v>17</v>
      </c>
      <c r="AG16" s="1" t="s">
        <v>18</v>
      </c>
      <c r="AI16" s="15" t="s">
        <v>4</v>
      </c>
      <c r="AJ16" s="1" t="s">
        <v>5</v>
      </c>
      <c r="AK16" s="1" t="s">
        <v>6</v>
      </c>
      <c r="AL16" s="18" t="s">
        <v>10</v>
      </c>
      <c r="AM16" s="1" t="s">
        <v>11</v>
      </c>
      <c r="AN16" s="1" t="s">
        <v>12</v>
      </c>
      <c r="AO16" s="1" t="s">
        <v>13</v>
      </c>
      <c r="AP16" s="18" t="s">
        <v>14</v>
      </c>
      <c r="AQ16" s="1" t="s">
        <v>17</v>
      </c>
      <c r="AR16" s="1" t="s">
        <v>18</v>
      </c>
      <c r="AT16" s="15" t="s">
        <v>4</v>
      </c>
      <c r="AU16" s="1" t="s">
        <v>5</v>
      </c>
      <c r="AV16" s="1" t="s">
        <v>6</v>
      </c>
      <c r="AW16" s="18" t="s">
        <v>10</v>
      </c>
      <c r="AX16" s="1" t="s">
        <v>11</v>
      </c>
      <c r="AY16" s="1" t="s">
        <v>12</v>
      </c>
      <c r="AZ16" s="1" t="s">
        <v>13</v>
      </c>
      <c r="BA16" s="18" t="s">
        <v>14</v>
      </c>
      <c r="BB16" s="1" t="s">
        <v>17</v>
      </c>
      <c r="BC16" s="1" t="s">
        <v>18</v>
      </c>
      <c r="BE16" s="15" t="s">
        <v>4</v>
      </c>
      <c r="BF16" s="1" t="s">
        <v>5</v>
      </c>
      <c r="BG16" s="1" t="s">
        <v>6</v>
      </c>
      <c r="BH16" s="18" t="s">
        <v>10</v>
      </c>
      <c r="BI16" s="1" t="s">
        <v>11</v>
      </c>
      <c r="BJ16" s="1" t="s">
        <v>12</v>
      </c>
      <c r="BK16" s="1" t="s">
        <v>13</v>
      </c>
      <c r="BL16" s="18" t="s">
        <v>14</v>
      </c>
      <c r="BM16" s="1" t="s">
        <v>17</v>
      </c>
      <c r="BN16" s="1" t="s">
        <v>18</v>
      </c>
      <c r="BP16" s="15" t="s">
        <v>4</v>
      </c>
      <c r="BQ16" s="1" t="s">
        <v>5</v>
      </c>
      <c r="BR16" s="1" t="s">
        <v>6</v>
      </c>
      <c r="BS16" s="18" t="s">
        <v>10</v>
      </c>
      <c r="BT16" s="1" t="s">
        <v>11</v>
      </c>
      <c r="BU16" s="1" t="s">
        <v>12</v>
      </c>
      <c r="BV16" s="1" t="s">
        <v>13</v>
      </c>
      <c r="BW16" s="18" t="s">
        <v>14</v>
      </c>
      <c r="BX16" s="1" t="s">
        <v>17</v>
      </c>
      <c r="BY16" s="1" t="s">
        <v>18</v>
      </c>
      <c r="CA16" s="15" t="s">
        <v>4</v>
      </c>
      <c r="CB16" s="1" t="s">
        <v>5</v>
      </c>
      <c r="CC16" s="1" t="s">
        <v>6</v>
      </c>
      <c r="CD16" s="18" t="s">
        <v>10</v>
      </c>
      <c r="CE16" s="1" t="s">
        <v>11</v>
      </c>
      <c r="CF16" s="1" t="s">
        <v>12</v>
      </c>
      <c r="CG16" s="1" t="s">
        <v>13</v>
      </c>
      <c r="CH16" s="18" t="s">
        <v>14</v>
      </c>
      <c r="CI16" s="1" t="s">
        <v>17</v>
      </c>
      <c r="CJ16" s="1" t="s">
        <v>18</v>
      </c>
      <c r="CL16" s="15" t="s">
        <v>4</v>
      </c>
      <c r="CM16" s="1" t="s">
        <v>5</v>
      </c>
      <c r="CN16" s="1" t="s">
        <v>6</v>
      </c>
      <c r="CO16" s="18" t="s">
        <v>10</v>
      </c>
      <c r="CP16" s="1" t="s">
        <v>11</v>
      </c>
      <c r="CQ16" s="1" t="s">
        <v>12</v>
      </c>
      <c r="CR16" s="1" t="s">
        <v>13</v>
      </c>
      <c r="CS16" s="18" t="s">
        <v>14</v>
      </c>
      <c r="CT16" s="1" t="s">
        <v>17</v>
      </c>
      <c r="CU16" s="1" t="s">
        <v>18</v>
      </c>
      <c r="CW16" s="15" t="s">
        <v>4</v>
      </c>
      <c r="CX16" s="1" t="s">
        <v>5</v>
      </c>
      <c r="CY16" s="1" t="s">
        <v>6</v>
      </c>
      <c r="CZ16" s="18" t="s">
        <v>10</v>
      </c>
      <c r="DA16" s="1" t="s">
        <v>11</v>
      </c>
      <c r="DB16" s="1" t="s">
        <v>12</v>
      </c>
      <c r="DC16" s="1" t="s">
        <v>13</v>
      </c>
      <c r="DD16" s="18" t="s">
        <v>14</v>
      </c>
      <c r="DE16" s="1" t="s">
        <v>17</v>
      </c>
      <c r="DF16" s="1" t="s">
        <v>18</v>
      </c>
      <c r="DH16" s="15" t="s">
        <v>4</v>
      </c>
      <c r="DI16" s="1" t="s">
        <v>5</v>
      </c>
      <c r="DJ16" s="1" t="s">
        <v>6</v>
      </c>
      <c r="DK16" s="18" t="s">
        <v>10</v>
      </c>
      <c r="DL16" s="1" t="s">
        <v>11</v>
      </c>
      <c r="DM16" s="1" t="s">
        <v>12</v>
      </c>
      <c r="DN16" s="1" t="s">
        <v>13</v>
      </c>
      <c r="DO16" s="18" t="s">
        <v>14</v>
      </c>
      <c r="DP16" s="1" t="s">
        <v>17</v>
      </c>
      <c r="DQ16" s="1" t="s">
        <v>18</v>
      </c>
      <c r="DS16" s="15" t="s">
        <v>4</v>
      </c>
      <c r="DT16" s="1" t="s">
        <v>5</v>
      </c>
      <c r="DU16" s="1" t="s">
        <v>6</v>
      </c>
      <c r="DV16" s="18" t="s">
        <v>10</v>
      </c>
      <c r="DW16" s="1" t="s">
        <v>11</v>
      </c>
      <c r="DX16" s="1" t="s">
        <v>12</v>
      </c>
      <c r="DY16" s="1" t="s">
        <v>13</v>
      </c>
      <c r="DZ16" s="18" t="s">
        <v>14</v>
      </c>
      <c r="EA16" s="1" t="s">
        <v>17</v>
      </c>
      <c r="EB16" s="1" t="s">
        <v>18</v>
      </c>
      <c r="ED16" s="15" t="s">
        <v>4</v>
      </c>
      <c r="EE16" s="1" t="s">
        <v>5</v>
      </c>
      <c r="EF16" s="1" t="s">
        <v>6</v>
      </c>
      <c r="EG16" s="18" t="s">
        <v>10</v>
      </c>
      <c r="EH16" s="1" t="s">
        <v>11</v>
      </c>
      <c r="EI16" s="1" t="s">
        <v>12</v>
      </c>
      <c r="EJ16" s="1" t="s">
        <v>13</v>
      </c>
      <c r="EK16" s="18" t="s">
        <v>14</v>
      </c>
      <c r="EL16" s="1" t="s">
        <v>17</v>
      </c>
      <c r="EM16" s="1" t="s">
        <v>18</v>
      </c>
      <c r="EO16" s="15" t="s">
        <v>4</v>
      </c>
      <c r="EP16" s="1" t="s">
        <v>5</v>
      </c>
      <c r="EQ16" s="1" t="s">
        <v>6</v>
      </c>
      <c r="ER16" s="18" t="s">
        <v>10</v>
      </c>
      <c r="ES16" s="1" t="s">
        <v>11</v>
      </c>
      <c r="ET16" s="1" t="s">
        <v>12</v>
      </c>
      <c r="EU16" s="1" t="s">
        <v>13</v>
      </c>
      <c r="EV16" s="18" t="s">
        <v>14</v>
      </c>
      <c r="EW16" s="1" t="s">
        <v>17</v>
      </c>
      <c r="EX16" s="1" t="s">
        <v>18</v>
      </c>
      <c r="EZ16" s="15" t="s">
        <v>4</v>
      </c>
      <c r="FA16" s="1" t="s">
        <v>5</v>
      </c>
      <c r="FB16" s="1" t="s">
        <v>6</v>
      </c>
      <c r="FC16" s="18" t="s">
        <v>10</v>
      </c>
      <c r="FD16" s="1" t="s">
        <v>11</v>
      </c>
      <c r="FE16" s="1" t="s">
        <v>12</v>
      </c>
      <c r="FF16" s="1" t="s">
        <v>13</v>
      </c>
      <c r="FG16" s="18" t="s">
        <v>14</v>
      </c>
      <c r="FH16" s="1" t="s">
        <v>17</v>
      </c>
      <c r="FI16" s="1" t="s">
        <v>18</v>
      </c>
      <c r="FK16" s="15" t="s">
        <v>4</v>
      </c>
      <c r="FL16" s="1" t="s">
        <v>5</v>
      </c>
      <c r="FM16" s="1" t="s">
        <v>6</v>
      </c>
      <c r="FN16" s="18" t="s">
        <v>10</v>
      </c>
      <c r="FO16" s="1" t="s">
        <v>11</v>
      </c>
      <c r="FP16" s="1" t="s">
        <v>12</v>
      </c>
      <c r="FQ16" s="1" t="s">
        <v>13</v>
      </c>
      <c r="FR16" s="18" t="s">
        <v>14</v>
      </c>
      <c r="FS16" s="1" t="s">
        <v>17</v>
      </c>
      <c r="FT16" s="1" t="s">
        <v>18</v>
      </c>
      <c r="FV16" s="15" t="s">
        <v>4</v>
      </c>
      <c r="FW16" s="1" t="s">
        <v>5</v>
      </c>
      <c r="FX16" s="1" t="s">
        <v>6</v>
      </c>
      <c r="FY16" s="18" t="s">
        <v>10</v>
      </c>
      <c r="FZ16" s="1" t="s">
        <v>11</v>
      </c>
      <c r="GA16" s="1" t="s">
        <v>12</v>
      </c>
      <c r="GB16" s="1" t="s">
        <v>13</v>
      </c>
      <c r="GC16" s="18" t="s">
        <v>14</v>
      </c>
      <c r="GD16" s="1" t="s">
        <v>17</v>
      </c>
      <c r="GE16" s="1" t="s">
        <v>18</v>
      </c>
      <c r="GG16" s="15" t="s">
        <v>4</v>
      </c>
      <c r="GH16" s="1" t="s">
        <v>5</v>
      </c>
      <c r="GI16" s="1" t="s">
        <v>6</v>
      </c>
      <c r="GJ16" s="18" t="s">
        <v>10</v>
      </c>
      <c r="GK16" s="1" t="s">
        <v>11</v>
      </c>
      <c r="GL16" s="1" t="s">
        <v>12</v>
      </c>
      <c r="GM16" s="1" t="s">
        <v>13</v>
      </c>
      <c r="GN16" s="18" t="s">
        <v>14</v>
      </c>
      <c r="GO16" s="1" t="s">
        <v>17</v>
      </c>
      <c r="GP16" s="1" t="s">
        <v>18</v>
      </c>
      <c r="GR16" s="15" t="s">
        <v>4</v>
      </c>
      <c r="GS16" s="1" t="s">
        <v>5</v>
      </c>
      <c r="GT16" s="1" t="s">
        <v>6</v>
      </c>
      <c r="GU16" s="18" t="s">
        <v>10</v>
      </c>
      <c r="GV16" s="1" t="s">
        <v>11</v>
      </c>
      <c r="GW16" s="1" t="s">
        <v>12</v>
      </c>
      <c r="GX16" s="1" t="s">
        <v>13</v>
      </c>
      <c r="GY16" s="18" t="s">
        <v>14</v>
      </c>
      <c r="GZ16" s="1" t="s">
        <v>17</v>
      </c>
      <c r="HA16" s="1" t="s">
        <v>18</v>
      </c>
      <c r="HC16" s="15" t="s">
        <v>4</v>
      </c>
      <c r="HD16" s="1" t="s">
        <v>5</v>
      </c>
      <c r="HE16" s="1" t="s">
        <v>6</v>
      </c>
      <c r="HF16" s="18" t="s">
        <v>10</v>
      </c>
      <c r="HG16" s="1" t="s">
        <v>11</v>
      </c>
      <c r="HH16" s="1" t="s">
        <v>12</v>
      </c>
      <c r="HI16" s="1" t="s">
        <v>13</v>
      </c>
      <c r="HJ16" s="18" t="s">
        <v>14</v>
      </c>
      <c r="HK16" s="1" t="s">
        <v>17</v>
      </c>
      <c r="HL16" s="1" t="s">
        <v>18</v>
      </c>
      <c r="HN16" s="15" t="s">
        <v>4</v>
      </c>
      <c r="HO16" s="1" t="s">
        <v>5</v>
      </c>
      <c r="HP16" s="1" t="s">
        <v>6</v>
      </c>
      <c r="HQ16" s="18" t="s">
        <v>10</v>
      </c>
      <c r="HR16" s="1" t="s">
        <v>11</v>
      </c>
      <c r="HS16" s="1" t="s">
        <v>12</v>
      </c>
      <c r="HT16" s="1" t="s">
        <v>13</v>
      </c>
      <c r="HU16" s="18" t="s">
        <v>14</v>
      </c>
      <c r="HV16" s="1" t="s">
        <v>17</v>
      </c>
      <c r="HW16" s="1" t="s">
        <v>18</v>
      </c>
    </row>
    <row r="17" spans="2:231" x14ac:dyDescent="0.25">
      <c r="B17" s="16">
        <f>SQRT((Animation!$N19-B$7)^2+(Animation!$O19-C$7)^2)</f>
        <v>3.1622776601683795</v>
      </c>
      <c r="C17" s="10">
        <f>SQRT((Animation!$N19-B$8)^2+(Animation!$O19-C$8)^2)</f>
        <v>2.2360679774997898</v>
      </c>
      <c r="D17" s="10">
        <f>SQRT((Animation!$N19-B$9)^2+(Animation!$O19-C$9)^2)</f>
        <v>4.1231056256176606</v>
      </c>
      <c r="E17" s="19">
        <f t="shared" ref="E17:E26" si="0">NORMDIST(B17,0,SQRT(D$7),FALSE)</f>
        <v>2.6880519410391441E-3</v>
      </c>
      <c r="F17" s="10">
        <f t="shared" ref="F17:F26" si="1">NORMDIST(C17,0,SQRT(D$8),FALSE)</f>
        <v>3.2747176537766633E-2</v>
      </c>
      <c r="G17" s="10">
        <f t="shared" ref="G17:G26" si="2">NORMDIST(D17,0,SQRT(D$9),FALSE)</f>
        <v>8.1172135122666584E-5</v>
      </c>
      <c r="H17" s="10">
        <f t="shared" ref="H17:H26" si="3">SUM(E17:G17)</f>
        <v>3.5516400613928446E-2</v>
      </c>
      <c r="I17" s="20">
        <f t="shared" ref="I17:I26" si="4">E17/H17</f>
        <v>7.5684807429077489E-2</v>
      </c>
      <c r="J17" s="11">
        <f t="shared" ref="J17:J26" si="5">F17/H17</f>
        <v>0.92202970942174223</v>
      </c>
      <c r="K17" s="11">
        <f t="shared" ref="K17:K26" si="6">G17/H17</f>
        <v>2.2854831491801947E-3</v>
      </c>
      <c r="L17" s="1"/>
      <c r="M17" s="16">
        <f>SQRT((Animation!$N19-M$7)^2+(Animation!$O19-N$7)^2)</f>
        <v>3.1657230386940984</v>
      </c>
      <c r="N17" s="10">
        <f>SQRT((Animation!$N19-M$8)^2+(Animation!$O19-N$8)^2)</f>
        <v>0.90323968300240642</v>
      </c>
      <c r="O17" s="10">
        <f>SQRT((Animation!$N19-M$9)^2+(Animation!$O19-N$9)^2)</f>
        <v>1.7211384448638394</v>
      </c>
      <c r="P17" s="19">
        <f t="shared" ref="P17:P26" si="7">NORMDIST(M17,0,SQRT(O$7),FALSE)</f>
        <v>2.658908145520297E-3</v>
      </c>
      <c r="Q17" s="10">
        <f t="shared" ref="Q17:Q26" si="8">NORMDIST(N17,0,SQRT(O$8),FALSE)</f>
        <v>0.26530915888677498</v>
      </c>
      <c r="R17" s="10">
        <f t="shared" ref="R17:R26" si="9">NORMDIST(O17,0,SQRT(O$9),FALSE)</f>
        <v>9.070912628153778E-2</v>
      </c>
      <c r="S17" s="10">
        <f t="shared" ref="S17:S26" si="10">SUM(P17:R17)</f>
        <v>0.35867719331383302</v>
      </c>
      <c r="T17" s="20">
        <f t="shared" ref="T17:T26" si="11">P17/S17</f>
        <v>7.4130951035791754E-3</v>
      </c>
      <c r="U17" s="11">
        <f t="shared" ref="U17:U26" si="12">Q17/S17</f>
        <v>0.73968784141409438</v>
      </c>
      <c r="V17" s="11">
        <f t="shared" ref="V17:V26" si="13">R17/S17</f>
        <v>0.2528990634823266</v>
      </c>
      <c r="W17" s="1"/>
      <c r="X17" s="16">
        <f>SQRT((Animation!$N19-X$7)^2+(Animation!$O19-Y$7)^2)</f>
        <v>3.6852091014580304</v>
      </c>
      <c r="Y17" s="10">
        <f>SQRT((Animation!$N19-X$8)^2+(Animation!$O19-Y$8)^2)</f>
        <v>1.5296582272328081</v>
      </c>
      <c r="Z17" s="10">
        <f>SQRT((Animation!$N19-X$9)^2+(Animation!$O19-Y$9)^2)</f>
        <v>1.8453525443459129</v>
      </c>
      <c r="AA17" s="19">
        <f t="shared" ref="AA17:AA26" si="14">NORMDIST(X17,0,SQRT(Z$7),FALSE)</f>
        <v>4.4862572433134368E-4</v>
      </c>
      <c r="AB17" s="10">
        <f t="shared" ref="AB17:AB26" si="15">NORMDIST(Y17,0,SQRT(Z$8),FALSE)</f>
        <v>0.12382751630220053</v>
      </c>
      <c r="AC17" s="10">
        <f t="shared" ref="AC17:AC26" si="16">NORMDIST(Z17,0,SQRT(Z$9),FALSE)</f>
        <v>7.2686359472046894E-2</v>
      </c>
      <c r="AD17" s="10">
        <f t="shared" ref="AD17:AD26" si="17">SUM(AA17:AC17)</f>
        <v>0.19696250149857875</v>
      </c>
      <c r="AE17" s="20">
        <f t="shared" ref="AE17:AE26" si="18">AA17/AD17</f>
        <v>2.2777214998692574E-3</v>
      </c>
      <c r="AF17" s="11">
        <f t="shared" ref="AF17:AF26" si="19">AB17/AD17</f>
        <v>0.62868574149934853</v>
      </c>
      <c r="AG17" s="11">
        <f t="shared" ref="AG17:AG26" si="20">AC17/AD17</f>
        <v>0.36903653700078232</v>
      </c>
      <c r="AH17" s="26"/>
      <c r="AI17" s="16">
        <f>SQRT((Animation!$N19-AI$7)^2+(Animation!$O19-AJ$7)^2)</f>
        <v>3.9313673889296767</v>
      </c>
      <c r="AJ17" s="10">
        <f>SQRT((Animation!$N19-AI$8)^2+(Animation!$O19-AJ$8)^2)</f>
        <v>1.9893230565903641</v>
      </c>
      <c r="AK17" s="10">
        <f>SQRT((Animation!$N19-AI$9)^2+(Animation!$O19-AJ$9)^2)</f>
        <v>1.7738581909996909</v>
      </c>
      <c r="AL17" s="19">
        <f t="shared" ref="AL17:AL26" si="21">NORMDIST(AI17,0,SQRT(AK$7),FALSE)</f>
        <v>1.7569459839678961E-4</v>
      </c>
      <c r="AM17" s="10">
        <f t="shared" ref="AM17:AM26" si="22">NORMDIST(AJ17,0,SQRT(AK$8),FALSE)</f>
        <v>5.5153137481024336E-2</v>
      </c>
      <c r="AN17" s="10">
        <f t="shared" ref="AN17:AN26" si="23">NORMDIST(AK17,0,SQRT(AK$9),FALSE)</f>
        <v>8.2725699118666313E-2</v>
      </c>
      <c r="AO17" s="10">
        <f t="shared" ref="AO17:AO26" si="24">SUM(AL17:AN17)</f>
        <v>0.13805453119808744</v>
      </c>
      <c r="AP17" s="20">
        <f t="shared" ref="AP17:AP26" si="25">AL17/AO17</f>
        <v>1.2726463729371862E-3</v>
      </c>
      <c r="AQ17" s="11">
        <f t="shared" ref="AQ17:AQ26" si="26">AM17/AO17</f>
        <v>0.39950255165393955</v>
      </c>
      <c r="AR17" s="11">
        <f t="shared" ref="AR17:AR26" si="27">AN17/AO17</f>
        <v>0.59922480197312322</v>
      </c>
      <c r="AS17" s="26"/>
      <c r="AT17" s="16">
        <f>SQRT((Animation!$N19-AT$7)^2+(Animation!$O19-AU$7)^2)</f>
        <v>4.0221800816962388</v>
      </c>
      <c r="AU17" s="10">
        <f>SQRT((Animation!$N19-AT$8)^2+(Animation!$O19-AU$8)^2)</f>
        <v>2.2441107154598043</v>
      </c>
      <c r="AV17" s="10">
        <f>SQRT((Animation!$N19-AT$9)^2+(Animation!$O19-AU$9)^2)</f>
        <v>1.5762131142282396</v>
      </c>
      <c r="AW17" s="19">
        <f t="shared" ref="AW17:AW26" si="28">NORMDIST(AT17,0,SQRT(AV$7),FALSE)</f>
        <v>1.2243811515911713E-4</v>
      </c>
      <c r="AX17" s="10">
        <f t="shared" ref="AX17:AX26" si="29">NORMDIST(AU17,0,SQRT(AV$8),FALSE)</f>
        <v>3.2162471586014756E-2</v>
      </c>
      <c r="AY17" s="10">
        <f t="shared" ref="AY17:AY26" si="30">NORMDIST(AV17,0,SQRT(AV$9),FALSE)</f>
        <v>0.11519114224197179</v>
      </c>
      <c r="AZ17" s="10">
        <f t="shared" ref="AZ17:AZ26" si="31">SUM(AW17:AY17)</f>
        <v>0.14747605194314567</v>
      </c>
      <c r="BA17" s="20">
        <f t="shared" ref="BA17:BA26" si="32">AW17/AZ17</f>
        <v>8.3022371121189856E-4</v>
      </c>
      <c r="BB17" s="11">
        <f t="shared" ref="BB17:BB26" si="33">AX17/AZ17</f>
        <v>0.21808606320986876</v>
      </c>
      <c r="BC17" s="11">
        <f t="shared" ref="BC17:BC26" si="34">AY17/AZ17</f>
        <v>0.78108371307891922</v>
      </c>
      <c r="BD17" s="26"/>
      <c r="BE17" s="16">
        <f>SQRT((Animation!$N19-BE$7)^2+(Animation!$O19-BF$7)^2)</f>
        <v>4.1878625127945366</v>
      </c>
      <c r="BF17" s="10">
        <f>SQRT((Animation!$N19-BE$8)^2+(Animation!$O19-BF$8)^2)</f>
        <v>2.5059865132377759</v>
      </c>
      <c r="BG17" s="10">
        <f>SQRT((Animation!$N19-BE$9)^2+(Animation!$O19-BF$9)^2)</f>
        <v>1.3933301736618853</v>
      </c>
      <c r="BH17" s="19">
        <f t="shared" ref="BH17:BH26" si="35">NORMDIST(BE17,0,SQRT(BG$7),FALSE)</f>
        <v>6.2021172068285545E-5</v>
      </c>
      <c r="BI17" s="10">
        <f t="shared" ref="BI17:BI26" si="36">NORMDIST(BF17,0,SQRT(BG$8),FALSE)</f>
        <v>1.7267610884153975E-2</v>
      </c>
      <c r="BJ17" s="10">
        <f t="shared" ref="BJ17:BJ26" si="37">NORMDIST(BG17,0,SQRT(BG$9),FALSE)</f>
        <v>0.15112877067989372</v>
      </c>
      <c r="BK17" s="10">
        <f t="shared" ref="BK17:BK26" si="38">SUM(BH17:BJ17)</f>
        <v>0.16845840273611598</v>
      </c>
      <c r="BL17" s="20">
        <f t="shared" ref="BL17:BL26" si="39">BH17/BK17</f>
        <v>3.6816906168485688E-4</v>
      </c>
      <c r="BM17" s="11">
        <f t="shared" ref="BM17:BM26" si="40">BI17/BK17</f>
        <v>0.10250370776222463</v>
      </c>
      <c r="BN17" s="11">
        <f t="shared" ref="BN17:BN26" si="41">BJ17/BK17</f>
        <v>0.89712812317609048</v>
      </c>
      <c r="BO17" s="26"/>
      <c r="BP17" s="16">
        <f>SQRT((Animation!$N19-BP$7)^2+(Animation!$O19-BQ$7)^2)</f>
        <v>4.2402859271071396</v>
      </c>
      <c r="BQ17" s="10">
        <f>SQRT((Animation!$N19-BP$8)^2+(Animation!$O19-BQ$8)^2)</f>
        <v>2.6472236880846993</v>
      </c>
      <c r="BR17" s="10">
        <f>SQRT((Animation!$N19-BP$9)^2+(Animation!$O19-BQ$9)^2)</f>
        <v>1.231596745124051</v>
      </c>
      <c r="BS17" s="19">
        <f t="shared" ref="BS17:BS26" si="42">NORMDIST(BP17,0,SQRT(BR$7),FALSE)</f>
        <v>4.9727577224435527E-5</v>
      </c>
      <c r="BT17" s="10">
        <f t="shared" ref="BT17:BT26" si="43">NORMDIST(BQ17,0,SQRT(BR$8),FALSE)</f>
        <v>1.2000161624421451E-2</v>
      </c>
      <c r="BU17" s="10">
        <f t="shared" ref="BU17:BU26" si="44">NORMDIST(BR17,0,SQRT(BR$9),FALSE)</f>
        <v>0.18686781111915163</v>
      </c>
      <c r="BV17" s="10">
        <f t="shared" ref="BV17:BV26" si="45">SUM(BS17:BU17)</f>
        <v>0.1989177003207975</v>
      </c>
      <c r="BW17" s="20">
        <f t="shared" ref="BW17:BW26" si="46">BS17/BV17</f>
        <v>2.4999071045080014E-4</v>
      </c>
      <c r="BX17" s="11">
        <f t="shared" ref="BX17:BX26" si="47">BT17/BV17</f>
        <v>6.0327269041762568E-2</v>
      </c>
      <c r="BY17" s="11">
        <f t="shared" ref="BY17:BY26" si="48">BU17/BV17</f>
        <v>0.93942274024778671</v>
      </c>
      <c r="BZ17" s="26"/>
      <c r="CA17" s="16">
        <f>SQRT((Animation!$N19-CA$7)^2+(Animation!$O19-CB$7)^2)</f>
        <v>4.2128728697082822</v>
      </c>
      <c r="CB17" s="10">
        <f>SQRT((Animation!$N19-CA$8)^2+(Animation!$O19-CB$8)^2)</f>
        <v>2.7219133437161243</v>
      </c>
      <c r="CC17" s="10">
        <f>SQRT((Animation!$N19-CA$9)^2+(Animation!$O19-CB$9)^2)</f>
        <v>1.0775162927899602</v>
      </c>
      <c r="CD17" s="19">
        <f t="shared" ref="CD17:CD26" si="49">NORMDIST(CA17,0,SQRT(CC$7),FALSE)</f>
        <v>5.5836239757341739E-5</v>
      </c>
      <c r="CE17" s="10">
        <f t="shared" ref="CE17:CE26" si="50">NORMDIST(CB17,0,SQRT(CC$8),FALSE)</f>
        <v>9.8198968715019572E-3</v>
      </c>
      <c r="CF17" s="10">
        <f t="shared" ref="CF17:CF26" si="51">NORMDIST(CC17,0,SQRT(CC$9),FALSE)</f>
        <v>0.22325085848875137</v>
      </c>
      <c r="CG17" s="10">
        <f t="shared" ref="CG17:CG26" si="52">SUM(CD17:CF17)</f>
        <v>0.23312659160001067</v>
      </c>
      <c r="CH17" s="20">
        <f t="shared" ref="CH17:CH26" si="53">CD17/CG17</f>
        <v>2.3951038521226843E-4</v>
      </c>
      <c r="CI17" s="11">
        <f t="shared" ref="CI17:CI26" si="54">CE17/CG17</f>
        <v>4.2122594441523623E-2</v>
      </c>
      <c r="CJ17" s="11">
        <f t="shared" ref="CJ17:CJ26" si="55">CF17/CG17</f>
        <v>0.95763789517326403</v>
      </c>
      <c r="CK17" s="26"/>
      <c r="CL17" s="16">
        <f>SQRT((Animation!$N19-CL$7)^2+(Animation!$O19-CM$7)^2)</f>
        <v>4.1855910203132138</v>
      </c>
      <c r="CM17" s="10">
        <f>SQRT((Animation!$N19-CL$8)^2+(Animation!$O19-CM$8)^2)</f>
        <v>2.8184267296741599</v>
      </c>
      <c r="CN17" s="10">
        <f>SQRT((Animation!$N19-CL$9)^2+(Animation!$O19-CM$9)^2)</f>
        <v>0.88096105795491275</v>
      </c>
      <c r="CO17" s="19">
        <f t="shared" ref="CO17:CO26" si="56">NORMDIST(CL17,0,SQRT(CN$7),FALSE)</f>
        <v>6.261381433861384E-5</v>
      </c>
      <c r="CP17" s="10">
        <f t="shared" ref="CP17:CP26" si="57">NORMDIST(CM17,0,SQRT(CN$8),FALSE)</f>
        <v>7.5161356571726819E-3</v>
      </c>
      <c r="CQ17" s="10">
        <f t="shared" ref="CQ17:CQ26" si="58">NORMDIST(CN17,0,SQRT(CN$9),FALSE)</f>
        <v>0.27063486559882921</v>
      </c>
      <c r="CR17" s="10">
        <f t="shared" ref="CR17:CR26" si="59">SUM(CO17:CQ17)</f>
        <v>0.27821361507034048</v>
      </c>
      <c r="CS17" s="20">
        <f t="shared" ref="CS17:CS26" si="60">CO17/CR17</f>
        <v>2.2505661458294645E-4</v>
      </c>
      <c r="CT17" s="11">
        <f t="shared" ref="CT17:CT26" si="61">CP17/CR17</f>
        <v>2.7015700346916468E-2</v>
      </c>
      <c r="CU17" s="11">
        <f t="shared" ref="CU17:CU26" si="62">CQ17/CR17</f>
        <v>0.9727592430385007</v>
      </c>
      <c r="CV17" s="26"/>
      <c r="CW17" s="16">
        <f>SQRT((Animation!$N19-CW$7)^2+(Animation!$O19-CX$7)^2)</f>
        <v>4.1523191406201514</v>
      </c>
      <c r="CX17" s="10">
        <f>SQRT((Animation!$N19-CW$8)^2+(Animation!$O19-CX$8)^2)</f>
        <v>3.0467033091889442</v>
      </c>
      <c r="CY17" s="10">
        <f>SQRT((Animation!$N19-CW$9)^2+(Animation!$O19-CX$9)^2)</f>
        <v>0.55118973405907556</v>
      </c>
      <c r="CZ17" s="19">
        <f t="shared" ref="CZ17:CZ26" si="63">NORMDIST(CW17,0,SQRT(CY$7),FALSE)</f>
        <v>7.1930106319818818E-5</v>
      </c>
      <c r="DA17" s="10">
        <f t="shared" ref="DA17:DA26" si="64">NORMDIST(CX17,0,SQRT(CY$8),FALSE)</f>
        <v>3.84824122275973E-3</v>
      </c>
      <c r="DB17" s="10">
        <f t="shared" ref="DB17:DB26" si="65">NORMDIST(CY17,0,SQRT(CY$9),FALSE)</f>
        <v>0.34271927927842721</v>
      </c>
      <c r="DC17" s="10">
        <f t="shared" ref="DC17:DC26" si="66">SUM(CZ17:DB17)</f>
        <v>0.34663945060750678</v>
      </c>
      <c r="DD17" s="20">
        <f t="shared" ref="DD17:DD26" si="67">CZ17/DC17</f>
        <v>2.0750698223689462E-4</v>
      </c>
      <c r="DE17" s="11">
        <f t="shared" ref="DE17:DE26" si="68">DA17/DC17</f>
        <v>1.1101567395215554E-2</v>
      </c>
      <c r="DF17" s="11">
        <f t="shared" ref="DF17:DF26" si="69">DB17/DC17</f>
        <v>0.98869092562254746</v>
      </c>
      <c r="DG17" s="26"/>
      <c r="DH17" s="16">
        <f>SQRT((Animation!$N19-DH$7)^2+(Animation!$O19-DI$7)^2)</f>
        <v>4.0881742998762141</v>
      </c>
      <c r="DI17" s="10">
        <f>SQRT((Animation!$N19-DH$8)^2+(Animation!$O19-DI$8)^2)</f>
        <v>3.4502302552904136</v>
      </c>
      <c r="DJ17" s="10">
        <f>SQRT((Animation!$N19-DH$9)^2+(Animation!$O19-DI$9)^2)</f>
        <v>0.24913444043999236</v>
      </c>
      <c r="DK17" s="19">
        <f t="shared" ref="DK17:DK26" si="70">NORMDIST(DH17,0,SQRT(DJ$7),FALSE)</f>
        <v>9.3689626338072245E-5</v>
      </c>
      <c r="DL17" s="10">
        <f t="shared" ref="DL17:DL26" si="71">NORMDIST(DI17,0,SQRT(DJ$8),FALSE)</f>
        <v>1.0374568049955589E-3</v>
      </c>
      <c r="DM17" s="10">
        <f t="shared" ref="DM17:DM26" si="72">NORMDIST(DJ17,0,SQRT(DJ$9),FALSE)</f>
        <v>0.38675165205164103</v>
      </c>
      <c r="DN17" s="10">
        <f t="shared" ref="DN17:DN26" si="73">SUM(DK17:DM17)</f>
        <v>0.38788279848297463</v>
      </c>
      <c r="DO17" s="20">
        <f t="shared" ref="DO17:DO26" si="74">DK17/DN17</f>
        <v>2.4154107040708217E-4</v>
      </c>
      <c r="DP17" s="11">
        <f t="shared" ref="DP17:DP26" si="75">DL17/DN17</f>
        <v>2.6746656697669876E-3</v>
      </c>
      <c r="DQ17" s="11">
        <f t="shared" ref="DQ17:DQ26" si="76">DM17/DN17</f>
        <v>0.99708379325982599</v>
      </c>
      <c r="DR17" s="26"/>
      <c r="DS17" s="16">
        <f>SQRT((Animation!$N19-DS$7)^2+(Animation!$O19-DT$7)^2)</f>
        <v>3.9677982050398306</v>
      </c>
      <c r="DT17" s="10">
        <f>SQRT((Animation!$N19-DS$8)^2+(Animation!$O19-DT$8)^2)</f>
        <v>3.5388840282675407</v>
      </c>
      <c r="DU17" s="10">
        <f>SQRT((Animation!$N19-DS$9)^2+(Animation!$O19-DT$9)^2)</f>
        <v>0.23226328373778124</v>
      </c>
      <c r="DV17" s="19">
        <f t="shared" ref="DV17:DV26" si="77">NORMDIST(DS17,0,SQRT(DU$7),FALSE)</f>
        <v>1.521490643500571E-4</v>
      </c>
      <c r="DW17" s="10">
        <f t="shared" ref="DW17:DW26" si="78">NORMDIST(DT17,0,SQRT(DU$8),FALSE)</f>
        <v>7.610674155121821E-4</v>
      </c>
      <c r="DX17" s="10">
        <f t="shared" ref="DX17:DX26" si="79">NORMDIST(DU17,0,SQRT(DU$9),FALSE)</f>
        <v>0.38832539275876921</v>
      </c>
      <c r="DY17" s="10">
        <f t="shared" ref="DY17:DY26" si="80">SUM(DV17:DX17)</f>
        <v>0.38923860923863146</v>
      </c>
      <c r="DZ17" s="20">
        <f t="shared" ref="DZ17:DZ26" si="81">DV17/DY17</f>
        <v>3.9088893223533921E-4</v>
      </c>
      <c r="EA17" s="11">
        <f t="shared" ref="EA17:EA26" si="82">DW17/DY17</f>
        <v>1.9552721581265146E-3</v>
      </c>
      <c r="EB17" s="11">
        <f t="shared" ref="EB17:EB26" si="83">DX17/DY17</f>
        <v>0.9976538389096381</v>
      </c>
      <c r="EC17" s="26"/>
      <c r="ED17" s="16">
        <f>SQRT((Animation!$N19-ED$7)^2+(Animation!$O19-EE$7)^2)</f>
        <v>3.8657816546427459</v>
      </c>
      <c r="EE17" s="10">
        <f>SQRT((Animation!$N19-ED$8)^2+(Animation!$O19-EE$8)^2)</f>
        <v>3.5418898067947855</v>
      </c>
      <c r="EF17" s="10">
        <f>SQRT((Animation!$N19-ED$9)^2+(Animation!$O19-EE$9)^2)</f>
        <v>0.2802846298192132</v>
      </c>
      <c r="EG17" s="19">
        <f t="shared" ref="EG17:EG26" si="84">NORMDIST(ED17,0,SQRT(EF$7),FALSE)</f>
        <v>2.2688382993226561E-4</v>
      </c>
      <c r="EH17" s="10">
        <f t="shared" ref="EH17:EH26" si="85">NORMDIST(EE17,0,SQRT(EF$8),FALSE)</f>
        <v>7.5301136678743586E-4</v>
      </c>
      <c r="EI17" s="10">
        <f t="shared" ref="EI17:EI26" si="86">NORMDIST(EF17,0,SQRT(EF$9),FALSE)</f>
        <v>0.38357570581307454</v>
      </c>
      <c r="EJ17" s="10">
        <f t="shared" ref="EJ17:EJ26" si="87">SUM(EG17:EI17)</f>
        <v>0.38455560100979425</v>
      </c>
      <c r="EK17" s="20">
        <f t="shared" ref="EK17:EK26" si="88">EG17/EJ17</f>
        <v>5.8998966426830721E-4</v>
      </c>
      <c r="EL17" s="11">
        <f t="shared" ref="EL17:EL26" si="89">EH17/EJ17</f>
        <v>1.9581339208429769E-3</v>
      </c>
      <c r="EM17" s="11">
        <f t="shared" ref="EM17:EM26" si="90">EI17/EJ17</f>
        <v>0.99745187641488875</v>
      </c>
      <c r="EN17" s="26"/>
      <c r="EO17" s="16">
        <f>SQRT((Animation!$N19-EO$7)^2+(Animation!$O19-EP$7)^2)</f>
        <v>3.7912584432210297</v>
      </c>
      <c r="EP17" s="10">
        <f>SQRT((Animation!$N19-EO$8)^2+(Animation!$O19-EP$8)^2)</f>
        <v>3.5422460389449428</v>
      </c>
      <c r="EQ17" s="10">
        <f>SQRT((Animation!$N19-EO$9)^2+(Animation!$O19-EP$9)^2)</f>
        <v>0.34624735381402505</v>
      </c>
      <c r="ER17" s="19">
        <f t="shared" ref="ER17:ER26" si="91">NORMDIST(EO17,0,SQRT(EQ$7),FALSE)</f>
        <v>3.0179613299451976E-4</v>
      </c>
      <c r="ES17" s="10">
        <f t="shared" ref="ES17:ES26" si="92">NORMDIST(EP17,0,SQRT(EQ$8),FALSE)</f>
        <v>7.5206181739127125E-4</v>
      </c>
      <c r="ET17" s="10">
        <f t="shared" ref="ET17:ET26" si="93">NORMDIST(EQ17,0,SQRT(EQ$9),FALSE)</f>
        <v>0.37573087561308888</v>
      </c>
      <c r="EU17" s="10">
        <f t="shared" ref="EU17:EU26" si="94">SUM(ER17:ET17)</f>
        <v>0.37678473356347469</v>
      </c>
      <c r="EV17" s="20">
        <f t="shared" ref="EV17:EV26" si="95">ER17/EU17</f>
        <v>8.0097760368435405E-4</v>
      </c>
      <c r="EW17" s="11">
        <f t="shared" ref="EW17:EW26" si="96">ES17/EU17</f>
        <v>1.9959986443149661E-3</v>
      </c>
      <c r="EX17" s="11">
        <f t="shared" ref="EX17:EX26" si="97">ET17/EU17</f>
        <v>0.99720302375200065</v>
      </c>
      <c r="EY17" s="26"/>
      <c r="EZ17" s="16">
        <f>SQRT((Animation!$N19-EZ$7)^2+(Animation!$O19-FA$7)^2)</f>
        <v>3.7389464003022521</v>
      </c>
      <c r="FA17" s="10">
        <f>SQRT((Animation!$N19-EZ$8)^2+(Animation!$O19-FA$8)^2)</f>
        <v>3.5423738317883009</v>
      </c>
      <c r="FB17" s="10">
        <f>SQRT((Animation!$N19-EZ$9)^2+(Animation!$O19-FA$9)^2)</f>
        <v>0.40589465153379617</v>
      </c>
      <c r="FC17" s="19">
        <f t="shared" ref="FC17:FC26" si="98">NORMDIST(EZ17,0,SQRT(FB$7),FALSE)</f>
        <v>3.6749581564681774E-4</v>
      </c>
      <c r="FD17" s="10">
        <f t="shared" ref="FD17:FD26" si="99">NORMDIST(FA17,0,SQRT(FB$8),FALSE)</f>
        <v>7.5172144969487347E-4</v>
      </c>
      <c r="FE17" s="10">
        <f t="shared" ref="FE17:FE26" si="100">NORMDIST(FB17,0,SQRT(FB$9),FALSE)</f>
        <v>0.36739645053803216</v>
      </c>
      <c r="FF17" s="10">
        <f t="shared" ref="FF17:FF26" si="101">SUM(FC17:FE17)</f>
        <v>0.36851566780337386</v>
      </c>
      <c r="FG17" s="20">
        <f t="shared" ref="FG17:FG26" si="102">FC17/FF17</f>
        <v>9.9723254057925087E-4</v>
      </c>
      <c r="FH17" s="11">
        <f t="shared" ref="FH17:FH26" si="103">FD17/FF17</f>
        <v>2.0398629295076917E-3</v>
      </c>
      <c r="FI17" s="11">
        <f t="shared" ref="FI17:FI26" si="104">FE17/FF17</f>
        <v>0.99696290452991299</v>
      </c>
      <c r="FJ17" s="26"/>
      <c r="FK17" s="16">
        <f>SQRT((Animation!$N19-FK$7)^2+(Animation!$O19-FL$7)^2)</f>
        <v>3.7040422940067539</v>
      </c>
      <c r="FL17" s="10">
        <f>SQRT((Animation!$N19-FK$8)^2+(Animation!$O19-FL$8)^2)</f>
        <v>3.5423931533265138</v>
      </c>
      <c r="FM17" s="10">
        <f>SQRT((Animation!$N19-FK$9)^2+(Animation!$O19-FL$9)^2)</f>
        <v>0.45033235801746901</v>
      </c>
      <c r="FN17" s="19">
        <f t="shared" ref="FN17:FN26" si="105">NORMDIST(FK17,0,SQRT(FM$7),FALSE)</f>
        <v>4.1847090560853396E-4</v>
      </c>
      <c r="FO17" s="10">
        <f t="shared" ref="FO17:FO26" si="106">NORMDIST(FL17,0,SQRT(FM$8),FALSE)</f>
        <v>7.5167000040867089E-4</v>
      </c>
      <c r="FP17" s="10">
        <f t="shared" ref="FP17:FP26" si="107">NORMDIST(FM17,0,SQRT(FM$9),FALSE)</f>
        <v>0.36047302577249607</v>
      </c>
      <c r="FQ17" s="10">
        <f t="shared" ref="FQ17:FQ26" si="108">SUM(FN17:FP17)</f>
        <v>0.36164316667851326</v>
      </c>
      <c r="FR17" s="20">
        <f t="shared" ref="FR17:FR26" si="109">FN17/FQ17</f>
        <v>1.1571375990647112E-3</v>
      </c>
      <c r="FS17" s="11">
        <f t="shared" ref="FS17:FS26" si="110">FO17/FQ17</f>
        <v>2.0784852851287975E-3</v>
      </c>
      <c r="FT17" s="11">
        <f t="shared" ref="FT17:FT26" si="111">FP17/FQ17</f>
        <v>0.99676437711580657</v>
      </c>
      <c r="FU17" s="26"/>
      <c r="FV17" s="16">
        <f>SQRT((Animation!$N19-FV$7)^2+(Animation!$O19-FW$7)^2)</f>
        <v>3.6817854553371085</v>
      </c>
      <c r="FW17" s="10">
        <f>SQRT((Animation!$N19-FV$8)^2+(Animation!$O19-FW$8)^2)</f>
        <v>3.5423658389970685</v>
      </c>
      <c r="FX17" s="10">
        <f>SQRT((Animation!$N19-FV$9)^2+(Animation!$O19-FW$9)^2)</f>
        <v>0.47989165728728128</v>
      </c>
      <c r="FY17" s="19">
        <f t="shared" ref="FY17:FY26" si="112">NORMDIST(FV17,0,SQRT(FX$7),FALSE)</f>
        <v>4.5431916388136498E-4</v>
      </c>
      <c r="FZ17" s="10">
        <f t="shared" ref="FZ17:FZ26" si="113">NORMDIST(FW17,0,SQRT(FX$8),FALSE)</f>
        <v>7.5174273380323987E-4</v>
      </c>
      <c r="GA17" s="10">
        <f t="shared" ref="GA17:GA26" si="114">NORMDIST(FX17,0,SQRT(FX$9),FALSE)</f>
        <v>0.3555510161921413</v>
      </c>
      <c r="GB17" s="10">
        <f t="shared" ref="GB17:GB26" si="115">SUM(FY17:GA17)</f>
        <v>0.35675707808982593</v>
      </c>
      <c r="GC17" s="20">
        <f t="shared" ref="GC17:GC26" si="116">FY17/GB17</f>
        <v>1.2734692365850536E-3</v>
      </c>
      <c r="GD17" s="11">
        <f t="shared" ref="GD17:GD26" si="117">FZ17/GB17</f>
        <v>2.1071557650047877E-3</v>
      </c>
      <c r="GE17" s="11">
        <f t="shared" ref="GE17:GE26" si="118">GA17/GB17</f>
        <v>0.99661937499841013</v>
      </c>
      <c r="GF17" s="26"/>
      <c r="GG17" s="16">
        <f>SQRT((Animation!$N19-GG$7)^2+(Animation!$O19-GH$7)^2)</f>
        <v>3.668074254983281</v>
      </c>
      <c r="GH17" s="10">
        <f>SQRT((Animation!$N19-GG$8)^2+(Animation!$O19-GH$8)^2)</f>
        <v>3.5423299329873332</v>
      </c>
      <c r="GI17" s="10">
        <f>SQRT((Animation!$N19-GG$9)^2+(Animation!$O19-GH$9)^2)</f>
        <v>0.49832488392359242</v>
      </c>
      <c r="GJ17" s="19">
        <f t="shared" ref="GJ17:GJ26" si="119">NORMDIST(GG17,0,SQRT(GI$7),FALSE)</f>
        <v>4.7779781160089225E-4</v>
      </c>
      <c r="GK17" s="10">
        <f t="shared" ref="GK17:GK26" si="120">NORMDIST(GH17,0,SQRT(GI$8),FALSE)</f>
        <v>7.5183835522855285E-4</v>
      </c>
      <c r="GL17" s="10">
        <f t="shared" ref="GL17:GL26" si="121">NORMDIST(GI17,0,SQRT(GI$9),FALSE)</f>
        <v>0.35235983106707741</v>
      </c>
      <c r="GM17" s="10">
        <f t="shared" ref="GM17:GM26" si="122">SUM(GJ17:GL17)</f>
        <v>0.35358946723390683</v>
      </c>
      <c r="GN17" s="20">
        <f t="shared" ref="GN17:GN26" si="123">GJ17/GM17</f>
        <v>1.3512784058265486E-3</v>
      </c>
      <c r="GO17" s="11">
        <f t="shared" ref="GO17:GO26" si="124">GK17/GM17</f>
        <v>2.12630302907523E-3</v>
      </c>
      <c r="GP17" s="11">
        <f t="shared" ref="GP17:GP26" si="125">GL17/GM17</f>
        <v>0.99652241856509827</v>
      </c>
      <c r="GQ17" s="26"/>
      <c r="GR17" s="16">
        <f>SQRT((Animation!$N19-GR$7)^2+(Animation!$O19-GS$7)^2)</f>
        <v>3.6598279056898857</v>
      </c>
      <c r="GS17" s="10">
        <f>SQRT((Animation!$N19-GR$8)^2+(Animation!$O19-GS$8)^2)</f>
        <v>3.5423005682076063</v>
      </c>
      <c r="GT17" s="10">
        <f>SQRT((Animation!$N19-GR$9)^2+(Animation!$O19-GS$9)^2)</f>
        <v>0.5094266673574892</v>
      </c>
      <c r="GU17" s="19">
        <f t="shared" ref="GU17:GU26" si="126">NORMDIST(GR17,0,SQRT(GT$7),FALSE)</f>
        <v>4.9245440375907611E-4</v>
      </c>
      <c r="GV17" s="10">
        <f t="shared" ref="GV17:GV26" si="127">NORMDIST(GS17,0,SQRT(GT$8),FALSE)</f>
        <v>7.5191656500087501E-4</v>
      </c>
      <c r="GW17" s="10">
        <f t="shared" ref="GW17:GW26" si="128">NORMDIST(GT17,0,SQRT(GT$9),FALSE)</f>
        <v>0.35039426119851041</v>
      </c>
      <c r="GX17" s="10">
        <f t="shared" ref="GX17:GX26" si="129">SUM(GU17:GW17)</f>
        <v>0.35163863216727037</v>
      </c>
      <c r="GY17" s="20">
        <f t="shared" ref="GY17:GY26" si="130">GU17/GX17</f>
        <v>1.4004559189754252E-3</v>
      </c>
      <c r="GZ17" s="11">
        <f t="shared" ref="GZ17:GZ26" si="131">GV17/GX17</f>
        <v>2.1383218344541766E-3</v>
      </c>
      <c r="HA17" s="11">
        <f t="shared" ref="HA17:HA26" si="132">GW17/GX17</f>
        <v>0.99646122224657041</v>
      </c>
      <c r="HB17" s="26"/>
      <c r="HC17" s="16">
        <f>SQRT((Animation!$N19-HC$7)^2+(Animation!$O19-HD$7)^2)</f>
        <v>3.6549450342783554</v>
      </c>
      <c r="HD17" s="10">
        <f>SQRT((Animation!$N19-HC$8)^2+(Animation!$O19-HD$8)^2)</f>
        <v>3.542280308747908</v>
      </c>
      <c r="HE17" s="10">
        <f>SQRT((Animation!$N19-HC$9)^2+(Animation!$O19-HD$9)^2)</f>
        <v>0.51599098302886681</v>
      </c>
      <c r="HF17" s="19">
        <f t="shared" ref="HF17:HF26" si="133">NORMDIST(HC17,0,SQRT(HE$7),FALSE)</f>
        <v>5.0132792253198633E-4</v>
      </c>
      <c r="HG17" s="10">
        <f t="shared" ref="HG17:HG26" si="134">NORMDIST(HD17,0,SQRT(HE$8),FALSE)</f>
        <v>7.5197052814704208E-4</v>
      </c>
      <c r="HH17" s="10">
        <f t="shared" ref="HH17:HH26" si="135">NORMDIST(HE17,0,SQRT(HE$9),FALSE)</f>
        <v>0.34921696263731411</v>
      </c>
      <c r="HI17" s="10">
        <f t="shared" ref="HI17:HI26" si="136">SUM(HF17:HH17)</f>
        <v>0.35047026108799312</v>
      </c>
      <c r="HJ17" s="20">
        <f t="shared" ref="HJ17:HJ26" si="137">HF17/HI17</f>
        <v>1.4304435445554597E-3</v>
      </c>
      <c r="HK17" s="11">
        <f t="shared" ref="HK17:HK26" si="138">HG17/HI17</f>
        <v>2.1456043825591343E-3</v>
      </c>
      <c r="HL17" s="11">
        <f t="shared" ref="HL17:HL26" si="139">HH17/HI17</f>
        <v>0.99642395207288548</v>
      </c>
      <c r="HM17" s="26"/>
      <c r="HN17" s="16">
        <f>SQRT((Animation!$N19-HN$7)^2+(Animation!$O19-HO$7)^2)</f>
        <v>3.6520814989816111</v>
      </c>
      <c r="HO17" s="10">
        <f>SQRT((Animation!$N19-HN$8)^2+(Animation!$O19-HO$8)^2)</f>
        <v>3.5422674177496973</v>
      </c>
      <c r="HP17" s="10">
        <f>SQRT((Animation!$N19-HN$9)^2+(Animation!$O19-HO$9)^2)</f>
        <v>0.51983435886565654</v>
      </c>
      <c r="HQ17" s="19">
        <f t="shared" ref="HQ17:HQ26" si="140">NORMDIST(HN17,0,SQRT(HP$7),FALSE)</f>
        <v>5.0660032908247227E-4</v>
      </c>
      <c r="HR17" s="10">
        <f t="shared" ref="HR17:HR26" si="141">NORMDIST(HO17,0,SQRT(HP$8),FALSE)</f>
        <v>7.5200486649667044E-4</v>
      </c>
      <c r="HS17" s="10">
        <f t="shared" ref="HS17:HS26" si="142">NORMDIST(HP17,0,SQRT(HP$9),FALSE)</f>
        <v>0.3485225261119983</v>
      </c>
      <c r="HT17" s="10">
        <f t="shared" ref="HT17:HT26" si="143">SUM(HQ17:HS17)</f>
        <v>0.34978113130757743</v>
      </c>
      <c r="HU17" s="20">
        <f t="shared" ref="HU17:HU26" si="144">HQ17/HT17</f>
        <v>1.4483352123331006E-3</v>
      </c>
      <c r="HV17" s="11">
        <f t="shared" ref="HV17:HV26" si="145">HR17/HT17</f>
        <v>2.1499297680394329E-3</v>
      </c>
      <c r="HW17" s="11">
        <f t="shared" ref="HW17:HW26" si="146">HS17/HT17</f>
        <v>0.99640173501962748</v>
      </c>
    </row>
    <row r="18" spans="2:231" x14ac:dyDescent="0.25">
      <c r="B18" s="16">
        <f>SQRT((Animation!$N20-B$7)^2+(Animation!$O20-C$7)^2)</f>
        <v>3.1622776601683795</v>
      </c>
      <c r="C18" s="10">
        <f>SQRT((Animation!$N20-B$8)^2+(Animation!$O20-C$8)^2)</f>
        <v>3</v>
      </c>
      <c r="D18" s="10">
        <f>SQRT((Animation!$N20-B$9)^2+(Animation!$O20-C$9)^2)</f>
        <v>6.7082039324993694</v>
      </c>
      <c r="E18" s="19">
        <f t="shared" si="0"/>
        <v>2.6880519410391441E-3</v>
      </c>
      <c r="F18" s="10">
        <f t="shared" si="1"/>
        <v>4.4318484119380075E-3</v>
      </c>
      <c r="G18" s="10">
        <f t="shared" si="2"/>
        <v>6.7496961545452444E-11</v>
      </c>
      <c r="H18" s="10">
        <f t="shared" si="3"/>
        <v>7.1199004204741123E-3</v>
      </c>
      <c r="I18" s="20">
        <f t="shared" si="4"/>
        <v>0.3775406652190435</v>
      </c>
      <c r="J18" s="11">
        <f t="shared" si="5"/>
        <v>0.62245932530091364</v>
      </c>
      <c r="K18" s="11">
        <f t="shared" si="6"/>
        <v>9.4800429162403711E-9</v>
      </c>
      <c r="L18" s="1"/>
      <c r="M18" s="16">
        <f>SQRT((Animation!$N20-M$7)^2+(Animation!$O20-N$7)^2)</f>
        <v>2.735158357934953</v>
      </c>
      <c r="N18" s="10">
        <f>SQRT((Animation!$N20-M$8)^2+(Animation!$O20-N$8)^2)</f>
        <v>2.1291859673984779</v>
      </c>
      <c r="O18" s="10">
        <f>SQRT((Animation!$N20-M$9)^2+(Animation!$O20-N$9)^2)</f>
        <v>3.7704616368679518</v>
      </c>
      <c r="P18" s="19">
        <f t="shared" si="7"/>
        <v>9.4713468916038223E-3</v>
      </c>
      <c r="Q18" s="10">
        <f t="shared" si="8"/>
        <v>4.1351152954325267E-2</v>
      </c>
      <c r="R18" s="10">
        <f t="shared" si="9"/>
        <v>3.2648419729159288E-4</v>
      </c>
      <c r="S18" s="10">
        <f t="shared" si="10"/>
        <v>5.1148984043220685E-2</v>
      </c>
      <c r="T18" s="20">
        <f t="shared" si="11"/>
        <v>0.18517175010945619</v>
      </c>
      <c r="U18" s="11">
        <f t="shared" si="12"/>
        <v>0.8084452453519646</v>
      </c>
      <c r="V18" s="11">
        <f t="shared" si="13"/>
        <v>6.3830045385792032E-3</v>
      </c>
      <c r="W18" s="1"/>
      <c r="X18" s="16">
        <f>SQRT((Animation!$N20-X$7)^2+(Animation!$O20-Y$7)^2)</f>
        <v>3.2962370816826483</v>
      </c>
      <c r="Y18" s="10">
        <f>SQRT((Animation!$N20-X$8)^2+(Animation!$O20-Y$8)^2)</f>
        <v>1.5891814304087559</v>
      </c>
      <c r="Z18" s="10">
        <f>SQRT((Animation!$N20-X$9)^2+(Animation!$O20-Y$9)^2)</f>
        <v>3.5963420258545726</v>
      </c>
      <c r="AA18" s="19">
        <f t="shared" si="14"/>
        <v>1.7440801751984958E-3</v>
      </c>
      <c r="AB18" s="10">
        <f t="shared" si="15"/>
        <v>0.11285095168340027</v>
      </c>
      <c r="AC18" s="10">
        <f t="shared" si="16"/>
        <v>6.2000902928482655E-4</v>
      </c>
      <c r="AD18" s="10">
        <f t="shared" si="17"/>
        <v>0.11521504088788359</v>
      </c>
      <c r="AE18" s="20">
        <f t="shared" si="18"/>
        <v>1.513760843860369E-2</v>
      </c>
      <c r="AF18" s="11">
        <f t="shared" si="19"/>
        <v>0.97948107134047002</v>
      </c>
      <c r="AG18" s="11">
        <f t="shared" si="20"/>
        <v>5.3813202209263703E-3</v>
      </c>
      <c r="AH18" s="26"/>
      <c r="AI18" s="16">
        <f>SQRT((Animation!$N20-AI$7)^2+(Animation!$O20-AJ$7)^2)</f>
        <v>3.6539913260655483</v>
      </c>
      <c r="AJ18" s="10">
        <f>SQRT((Animation!$N20-AI$8)^2+(Animation!$O20-AJ$8)^2)</f>
        <v>1.350296693614669</v>
      </c>
      <c r="AK18" s="10">
        <f>SQRT((Animation!$N20-AI$9)^2+(Animation!$O20-AJ$9)^2)</f>
        <v>3.5506396639716407</v>
      </c>
      <c r="AL18" s="19">
        <f t="shared" si="21"/>
        <v>5.0307824732239706E-4</v>
      </c>
      <c r="AM18" s="10">
        <f t="shared" si="22"/>
        <v>0.16031909379177495</v>
      </c>
      <c r="AN18" s="10">
        <f t="shared" si="23"/>
        <v>7.3000472963629607E-4</v>
      </c>
      <c r="AO18" s="10">
        <f t="shared" si="24"/>
        <v>0.16155217676873365</v>
      </c>
      <c r="AP18" s="20">
        <f t="shared" si="25"/>
        <v>3.1140295190362388E-3</v>
      </c>
      <c r="AQ18" s="11">
        <f t="shared" si="26"/>
        <v>0.99236727723747176</v>
      </c>
      <c r="AR18" s="11">
        <f t="shared" si="27"/>
        <v>4.5186932434919634E-3</v>
      </c>
      <c r="AS18" s="26"/>
      <c r="AT18" s="16">
        <f>SQRT((Animation!$N20-AT$7)^2+(Animation!$O20-AU$7)^2)</f>
        <v>3.9355450162214436</v>
      </c>
      <c r="AU18" s="10">
        <f>SQRT((Animation!$N20-AT$8)^2+(Animation!$O20-AU$8)^2)</f>
        <v>1.0579270155642091</v>
      </c>
      <c r="AV18" s="10">
        <f>SQRT((Animation!$N20-AT$9)^2+(Animation!$O20-AU$9)^2)</f>
        <v>3.4599028715395126</v>
      </c>
      <c r="AW18" s="19">
        <f t="shared" si="28"/>
        <v>1.7283108623900923E-4</v>
      </c>
      <c r="AX18" s="10">
        <f t="shared" si="29"/>
        <v>0.22796952566271353</v>
      </c>
      <c r="AY18" s="10">
        <f t="shared" si="30"/>
        <v>1.0033584324731762E-3</v>
      </c>
      <c r="AZ18" s="10">
        <f t="shared" si="31"/>
        <v>0.22914571518142571</v>
      </c>
      <c r="BA18" s="20">
        <f t="shared" si="32"/>
        <v>7.5424096890561773E-4</v>
      </c>
      <c r="BB18" s="11">
        <f t="shared" si="33"/>
        <v>0.99486706736898423</v>
      </c>
      <c r="BC18" s="11">
        <f t="shared" si="34"/>
        <v>4.3786916621101511E-3</v>
      </c>
      <c r="BD18" s="26"/>
      <c r="BE18" s="16">
        <f>SQRT((Animation!$N20-BE$7)^2+(Animation!$O20-BF$7)^2)</f>
        <v>4.4227544832955061</v>
      </c>
      <c r="BF18" s="10">
        <f>SQRT((Animation!$N20-BE$8)^2+(Animation!$O20-BF$8)^2)</f>
        <v>0.69404677604825249</v>
      </c>
      <c r="BG18" s="10">
        <f>SQRT((Animation!$N20-BE$9)^2+(Animation!$O20-BF$9)^2)</f>
        <v>3.3961042887799229</v>
      </c>
      <c r="BH18" s="19">
        <f t="shared" si="35"/>
        <v>2.2560338140262654E-5</v>
      </c>
      <c r="BI18" s="10">
        <f t="shared" si="36"/>
        <v>0.3135523344251091</v>
      </c>
      <c r="BJ18" s="10">
        <f t="shared" si="37"/>
        <v>1.2486395213092455E-3</v>
      </c>
      <c r="BK18" s="10">
        <f t="shared" si="38"/>
        <v>0.31482353428455861</v>
      </c>
      <c r="BL18" s="20">
        <f t="shared" si="39"/>
        <v>7.166026577883186E-5</v>
      </c>
      <c r="BM18" s="11">
        <f t="shared" si="40"/>
        <v>0.99596218287067284</v>
      </c>
      <c r="BN18" s="11">
        <f t="shared" si="41"/>
        <v>3.9661568635483311E-3</v>
      </c>
      <c r="BO18" s="26"/>
      <c r="BP18" s="16">
        <f>SQRT((Animation!$N20-BP$7)^2+(Animation!$O20-BQ$7)^2)</f>
        <v>4.6049928033576313</v>
      </c>
      <c r="BQ18" s="10">
        <f>SQRT((Animation!$N20-BP$8)^2+(Animation!$O20-BQ$8)^2)</f>
        <v>0.54904519276670827</v>
      </c>
      <c r="BR18" s="10">
        <f>SQRT((Animation!$N20-BP$9)^2+(Animation!$O20-BQ$9)^2)</f>
        <v>3.3449729791745262</v>
      </c>
      <c r="BS18" s="19">
        <f t="shared" si="42"/>
        <v>9.9104788323432335E-6</v>
      </c>
      <c r="BT18" s="10">
        <f t="shared" si="43"/>
        <v>0.34312384081026481</v>
      </c>
      <c r="BU18" s="10">
        <f t="shared" si="44"/>
        <v>1.483485861310824E-3</v>
      </c>
      <c r="BV18" s="10">
        <f t="shared" si="45"/>
        <v>0.34461723715040798</v>
      </c>
      <c r="BW18" s="20">
        <f t="shared" si="46"/>
        <v>2.8757931304573169E-5</v>
      </c>
      <c r="BX18" s="11">
        <f t="shared" si="47"/>
        <v>0.99566650712978877</v>
      </c>
      <c r="BY18" s="11">
        <f t="shared" si="48"/>
        <v>4.3047349389066037E-3</v>
      </c>
      <c r="BZ18" s="26"/>
      <c r="CA18" s="16">
        <f>SQRT((Animation!$N20-CA$7)^2+(Animation!$O20-CB$7)^2)</f>
        <v>4.5939946862378322</v>
      </c>
      <c r="CB18" s="10">
        <f>SQRT((Animation!$N20-CA$8)^2+(Animation!$O20-CB$8)^2)</f>
        <v>0.47812919141341542</v>
      </c>
      <c r="CC18" s="10">
        <f>SQRT((Animation!$N20-CA$9)^2+(Animation!$O20-CB$9)^2)</f>
        <v>3.291392387178405</v>
      </c>
      <c r="CD18" s="19">
        <f t="shared" si="49"/>
        <v>1.0424704648129777E-5</v>
      </c>
      <c r="CE18" s="10">
        <f t="shared" si="50"/>
        <v>0.35585131315701873</v>
      </c>
      <c r="CF18" s="10">
        <f t="shared" si="51"/>
        <v>1.7721346246741673E-3</v>
      </c>
      <c r="CG18" s="10">
        <f t="shared" si="52"/>
        <v>0.35763387248634104</v>
      </c>
      <c r="CH18" s="20">
        <f t="shared" si="53"/>
        <v>2.9149097583109729E-5</v>
      </c>
      <c r="CI18" s="11">
        <f t="shared" si="54"/>
        <v>0.99501568652619621</v>
      </c>
      <c r="CJ18" s="11">
        <f t="shared" si="55"/>
        <v>4.9551643762206828E-3</v>
      </c>
      <c r="CK18" s="26"/>
      <c r="CL18" s="16">
        <f>SQRT((Animation!$N20-CL$7)^2+(Animation!$O20-CM$7)^2)</f>
        <v>4.5784894762491977</v>
      </c>
      <c r="CM18" s="10">
        <f>SQRT((Animation!$N20-CL$8)^2+(Animation!$O20-CM$8)^2)</f>
        <v>0.37413152268754124</v>
      </c>
      <c r="CN18" s="10">
        <f>SQRT((Animation!$N20-CL$9)^2+(Animation!$O20-CM$9)^2)</f>
        <v>3.2264962910413963</v>
      </c>
      <c r="CO18" s="19">
        <f t="shared" si="56"/>
        <v>1.1193005594152479E-5</v>
      </c>
      <c r="CP18" s="10">
        <f t="shared" si="57"/>
        <v>0.37197607870282279</v>
      </c>
      <c r="CQ18" s="10">
        <f t="shared" si="58"/>
        <v>2.189509591051761E-3</v>
      </c>
      <c r="CR18" s="10">
        <f t="shared" si="59"/>
        <v>0.37417678129946869</v>
      </c>
      <c r="CS18" s="20">
        <f t="shared" si="60"/>
        <v>2.9913682926237658E-5</v>
      </c>
      <c r="CT18" s="11">
        <f t="shared" si="61"/>
        <v>0.99411854848661874</v>
      </c>
      <c r="CU18" s="11">
        <f t="shared" si="62"/>
        <v>5.8515378304550879E-3</v>
      </c>
      <c r="CV18" s="26"/>
      <c r="CW18" s="16">
        <f>SQRT((Animation!$N20-CW$7)^2+(Animation!$O20-CX$7)^2)</f>
        <v>4.5602740399089301</v>
      </c>
      <c r="CX18" s="10">
        <f>SQRT((Animation!$N20-CW$8)^2+(Animation!$O20-CX$8)^2)</f>
        <v>0.2712262455182855</v>
      </c>
      <c r="CY18" s="10">
        <f>SQRT((Animation!$N20-CW$9)^2+(Animation!$O20-CX$9)^2)</f>
        <v>3.1339022127947707</v>
      </c>
      <c r="CZ18" s="19">
        <f t="shared" si="63"/>
        <v>1.2164505977100386E-5</v>
      </c>
      <c r="DA18" s="10">
        <f t="shared" si="64"/>
        <v>0.38453503673745071</v>
      </c>
      <c r="DB18" s="10">
        <f t="shared" si="65"/>
        <v>2.9392228394913996E-3</v>
      </c>
      <c r="DC18" s="10">
        <f t="shared" si="66"/>
        <v>0.38748642408291917</v>
      </c>
      <c r="DD18" s="20">
        <f t="shared" si="67"/>
        <v>3.1393373344345283E-5</v>
      </c>
      <c r="DE18" s="11">
        <f t="shared" si="68"/>
        <v>0.9923832496778342</v>
      </c>
      <c r="DF18" s="11">
        <f t="shared" si="69"/>
        <v>7.5853569488215878E-3</v>
      </c>
      <c r="DG18" s="26"/>
      <c r="DH18" s="16">
        <f>SQRT((Animation!$N20-DH$7)^2+(Animation!$O20-DI$7)^2)</f>
        <v>4.5273456413953141</v>
      </c>
      <c r="DI18" s="10">
        <f>SQRT((Animation!$N20-DH$8)^2+(Animation!$O20-DI$8)^2)</f>
        <v>0.64069863179059849</v>
      </c>
      <c r="DJ18" s="10">
        <f>SQRT((Animation!$N20-DH$9)^2+(Animation!$O20-DI$9)^2)</f>
        <v>3.0672763116278681</v>
      </c>
      <c r="DK18" s="19">
        <f t="shared" si="70"/>
        <v>1.4127775402857813E-5</v>
      </c>
      <c r="DL18" s="10">
        <f t="shared" si="71"/>
        <v>0.32491687402650088</v>
      </c>
      <c r="DM18" s="10">
        <f t="shared" si="72"/>
        <v>3.6136731923391142E-3</v>
      </c>
      <c r="DN18" s="10">
        <f t="shared" si="73"/>
        <v>0.32854467499424289</v>
      </c>
      <c r="DO18" s="20">
        <f t="shared" si="74"/>
        <v>4.3001078629886101E-5</v>
      </c>
      <c r="DP18" s="11">
        <f t="shared" si="75"/>
        <v>0.98895796753423082</v>
      </c>
      <c r="DQ18" s="11">
        <f t="shared" si="76"/>
        <v>1.0999031387139167E-2</v>
      </c>
      <c r="DR18" s="26"/>
      <c r="DS18" s="16">
        <f>SQRT((Animation!$N20-DS$7)^2+(Animation!$O20-DT$7)^2)</f>
        <v>4.4697034456717466</v>
      </c>
      <c r="DT18" s="10">
        <f>SQRT((Animation!$N20-DS$8)^2+(Animation!$O20-DT$8)^2)</f>
        <v>0.74089116504705821</v>
      </c>
      <c r="DU18" s="10">
        <f>SQRT((Animation!$N20-DS$9)^2+(Animation!$O20-DT$9)^2)</f>
        <v>3.0417486210729279</v>
      </c>
      <c r="DV18" s="19">
        <f t="shared" si="77"/>
        <v>1.8310004027252723E-5</v>
      </c>
      <c r="DW18" s="10">
        <f t="shared" si="78"/>
        <v>0.30318915557491277</v>
      </c>
      <c r="DX18" s="10">
        <f t="shared" si="79"/>
        <v>3.9067249287727509E-3</v>
      </c>
      <c r="DY18" s="10">
        <f t="shared" si="80"/>
        <v>0.30711419050771277</v>
      </c>
      <c r="DZ18" s="20">
        <f t="shared" si="81"/>
        <v>5.9619531083806726E-5</v>
      </c>
      <c r="EA18" s="11">
        <f t="shared" si="82"/>
        <v>0.98721962366404747</v>
      </c>
      <c r="EB18" s="11">
        <f t="shared" si="83"/>
        <v>1.2720756804868769E-2</v>
      </c>
      <c r="EC18" s="26"/>
      <c r="ED18" s="16">
        <f>SQRT((Animation!$N20-ED$7)^2+(Animation!$O20-EE$7)^2)</f>
        <v>4.4227936948940316</v>
      </c>
      <c r="EE18" s="10">
        <f>SQRT((Animation!$N20-ED$8)^2+(Animation!$O20-EE$8)^2)</f>
        <v>0.74414111459891596</v>
      </c>
      <c r="EF18" s="10">
        <f>SQRT((Animation!$N20-ED$9)^2+(Animation!$O20-EE$9)^2)</f>
        <v>3.0224981361719867</v>
      </c>
      <c r="EG18" s="19">
        <f t="shared" si="84"/>
        <v>2.2556425974476215E-5</v>
      </c>
      <c r="EH18" s="10">
        <f t="shared" si="85"/>
        <v>0.30245839975993877</v>
      </c>
      <c r="EI18" s="10">
        <f t="shared" si="86"/>
        <v>4.1415464394785008E-3</v>
      </c>
      <c r="EJ18" s="10">
        <f t="shared" si="87"/>
        <v>0.30662250262539176</v>
      </c>
      <c r="EK18" s="20">
        <f t="shared" si="88"/>
        <v>7.3564157168314403E-5</v>
      </c>
      <c r="EL18" s="11">
        <f t="shared" si="89"/>
        <v>0.986419447921145</v>
      </c>
      <c r="EM18" s="11">
        <f t="shared" si="90"/>
        <v>1.3506987921686654E-2</v>
      </c>
      <c r="EN18" s="26"/>
      <c r="EO18" s="16">
        <f>SQRT((Animation!$N20-EO$7)^2+(Animation!$O20-EP$7)^2)</f>
        <v>4.3891065748001052</v>
      </c>
      <c r="EP18" s="10">
        <f>SQRT((Animation!$N20-EO$8)^2+(Animation!$O20-EP$8)^2)</f>
        <v>0.74457265166072972</v>
      </c>
      <c r="EQ18" s="10">
        <f>SQRT((Animation!$N20-EO$9)^2+(Animation!$O20-EP$9)^2)</f>
        <v>3.0097172839838335</v>
      </c>
      <c r="ER18" s="19">
        <f t="shared" si="91"/>
        <v>2.6165552674968105E-5</v>
      </c>
      <c r="ES18" s="10">
        <f t="shared" si="92"/>
        <v>0.30236126040629496</v>
      </c>
      <c r="ET18" s="10">
        <f t="shared" si="93"/>
        <v>4.3043135929550303E-3</v>
      </c>
      <c r="EU18" s="10">
        <f t="shared" si="94"/>
        <v>0.30669173955192497</v>
      </c>
      <c r="EV18" s="20">
        <f t="shared" si="95"/>
        <v>8.5315479031798649E-5</v>
      </c>
      <c r="EW18" s="11">
        <f t="shared" si="96"/>
        <v>0.98588002679186337</v>
      </c>
      <c r="EX18" s="11">
        <f t="shared" si="97"/>
        <v>1.4034657729104833E-2</v>
      </c>
      <c r="EY18" s="26"/>
      <c r="EZ18" s="16">
        <f>SQRT((Animation!$N20-EZ$7)^2+(Animation!$O20-FA$7)^2)</f>
        <v>4.365376773434245</v>
      </c>
      <c r="FA18" s="10">
        <f>SQRT((Animation!$N20-EZ$8)^2+(Animation!$O20-FA$8)^2)</f>
        <v>0.74475699622168234</v>
      </c>
      <c r="FB18" s="10">
        <f>SQRT((Animation!$N20-EZ$9)^2+(Animation!$O20-FA$9)^2)</f>
        <v>3.0020081980471249</v>
      </c>
      <c r="FC18" s="19">
        <f t="shared" si="98"/>
        <v>2.9029566286431754E-5</v>
      </c>
      <c r="FD18" s="10">
        <f t="shared" si="99"/>
        <v>0.30231975664025529</v>
      </c>
      <c r="FE18" s="10">
        <f t="shared" si="100"/>
        <v>4.4052197084584084E-3</v>
      </c>
      <c r="FF18" s="10">
        <f t="shared" si="101"/>
        <v>0.30675400591500013</v>
      </c>
      <c r="FG18" s="20">
        <f t="shared" si="102"/>
        <v>9.4634677059362313E-5</v>
      </c>
      <c r="FH18" s="11">
        <f t="shared" si="103"/>
        <v>0.9855446084183378</v>
      </c>
      <c r="FI18" s="11">
        <f t="shared" si="104"/>
        <v>1.4360756904602806E-2</v>
      </c>
      <c r="FJ18" s="26"/>
      <c r="FK18" s="16">
        <f>SQRT((Animation!$N20-FK$7)^2+(Animation!$O20-FL$7)^2)</f>
        <v>4.349220375430809</v>
      </c>
      <c r="FL18" s="10">
        <f>SQRT((Animation!$N20-FK$8)^2+(Animation!$O20-FL$8)^2)</f>
        <v>0.74481771993992718</v>
      </c>
      <c r="FM18" s="10">
        <f>SQRT((Animation!$N20-FK$9)^2+(Animation!$O20-FL$9)^2)</f>
        <v>2.9978294545513493</v>
      </c>
      <c r="FN18" s="19">
        <f t="shared" si="105"/>
        <v>3.1146849103086788E-5</v>
      </c>
      <c r="FO18" s="10">
        <f t="shared" si="106"/>
        <v>0.3023060841582183</v>
      </c>
      <c r="FP18" s="10">
        <f t="shared" si="107"/>
        <v>4.4607906517147881E-3</v>
      </c>
      <c r="FQ18" s="10">
        <f t="shared" si="108"/>
        <v>0.30679802165903619</v>
      </c>
      <c r="FR18" s="20">
        <f t="shared" si="109"/>
        <v>1.015223270823507E-4</v>
      </c>
      <c r="FS18" s="11">
        <f t="shared" si="110"/>
        <v>0.98535864906648563</v>
      </c>
      <c r="FT18" s="11">
        <f t="shared" si="111"/>
        <v>1.4539828606431965E-2</v>
      </c>
      <c r="FU18" s="26"/>
      <c r="FV18" s="16">
        <f>SQRT((Animation!$N20-FV$7)^2+(Animation!$O20-FW$7)^2)</f>
        <v>4.3386484477538749</v>
      </c>
      <c r="FW18" s="10">
        <f>SQRT((Animation!$N20-FV$8)^2+(Animation!$O20-FW$8)^2)</f>
        <v>0.74481853640284568</v>
      </c>
      <c r="FX18" s="10">
        <f>SQRT((Animation!$N20-FV$9)^2+(Animation!$O20-FW$9)^2)</f>
        <v>2.9957105038613174</v>
      </c>
      <c r="FY18" s="19">
        <f t="shared" si="112"/>
        <v>3.261058236631375E-5</v>
      </c>
      <c r="FZ18" s="10">
        <f t="shared" si="113"/>
        <v>0.30230590032099186</v>
      </c>
      <c r="GA18" s="10">
        <f t="shared" si="114"/>
        <v>4.489206833218475E-3</v>
      </c>
      <c r="GB18" s="10">
        <f t="shared" si="115"/>
        <v>0.30682771773657663</v>
      </c>
      <c r="GC18" s="20">
        <f t="shared" si="116"/>
        <v>1.0628303924716211E-4</v>
      </c>
      <c r="GD18" s="11">
        <f t="shared" si="117"/>
        <v>0.98526268275584239</v>
      </c>
      <c r="GE18" s="11">
        <f t="shared" si="118"/>
        <v>1.4631034204910494E-2</v>
      </c>
      <c r="GF18" s="26"/>
      <c r="GG18" s="16">
        <f>SQRT((Animation!$N20-GG$7)^2+(Animation!$O20-GH$7)^2)</f>
        <v>4.3319876661207255</v>
      </c>
      <c r="GH18" s="10">
        <f>SQRT((Animation!$N20-GG$8)^2+(Animation!$O20-GH$8)^2)</f>
        <v>0.74480049684964722</v>
      </c>
      <c r="GI18" s="10">
        <f>SQRT((Animation!$N20-GG$9)^2+(Animation!$O20-GH$9)^2)</f>
        <v>2.9946552950428837</v>
      </c>
      <c r="GJ18" s="19">
        <f t="shared" si="119"/>
        <v>3.3565993460087437E-5</v>
      </c>
      <c r="GK18" s="10">
        <f t="shared" si="120"/>
        <v>0.30230996213969646</v>
      </c>
      <c r="GL18" s="10">
        <f t="shared" si="121"/>
        <v>4.5034176113450423E-3</v>
      </c>
      <c r="GM18" s="10">
        <f t="shared" si="122"/>
        <v>0.30684694574450161</v>
      </c>
      <c r="GN18" s="20">
        <f t="shared" si="123"/>
        <v>1.0939001976586858E-4</v>
      </c>
      <c r="GO18" s="11">
        <f t="shared" si="124"/>
        <v>0.98521418033411712</v>
      </c>
      <c r="GP18" s="11">
        <f t="shared" si="125"/>
        <v>1.4676429646116949E-2</v>
      </c>
      <c r="GQ18" s="26"/>
      <c r="GR18" s="16">
        <f>SQRT((Animation!$N20-GR$7)^2+(Animation!$O20-GS$7)^2)</f>
        <v>4.3279167165122363</v>
      </c>
      <c r="GS18" s="10">
        <f>SQRT((Animation!$N20-GR$8)^2+(Animation!$O20-GS$8)^2)</f>
        <v>0.7447819877772589</v>
      </c>
      <c r="GT18" s="10">
        <f>SQRT((Animation!$N20-GR$9)^2+(Animation!$O20-GS$9)^2)</f>
        <v>2.9941210657062789</v>
      </c>
      <c r="GU18" s="19">
        <f t="shared" si="126"/>
        <v>3.4162907252646581E-5</v>
      </c>
      <c r="GV18" s="10">
        <f t="shared" si="127"/>
        <v>0.30231412963066767</v>
      </c>
      <c r="GW18" s="10">
        <f t="shared" si="128"/>
        <v>4.5106274487288203E-3</v>
      </c>
      <c r="GX18" s="10">
        <f t="shared" si="129"/>
        <v>0.30685891998664916</v>
      </c>
      <c r="GY18" s="20">
        <f t="shared" si="130"/>
        <v>1.113309896747761E-4</v>
      </c>
      <c r="GZ18" s="11">
        <f t="shared" si="131"/>
        <v>0.98518931645793706</v>
      </c>
      <c r="HA18" s="11">
        <f t="shared" si="132"/>
        <v>1.4699352552388143E-2</v>
      </c>
      <c r="HB18" s="26"/>
      <c r="HC18" s="16">
        <f>SQRT((Animation!$N20-HC$7)^2+(Animation!$O20-HD$7)^2)</f>
        <v>4.3254810237023209</v>
      </c>
      <c r="HD18" s="10">
        <f>SQRT((Animation!$N20-HC$8)^2+(Animation!$O20-HD$8)^2)</f>
        <v>0.74476816606797769</v>
      </c>
      <c r="HE18" s="10">
        <f>SQRT((Animation!$N20-HC$9)^2+(Animation!$O20-HD$9)^2)</f>
        <v>2.9938419776741418</v>
      </c>
      <c r="HF18" s="19">
        <f t="shared" si="133"/>
        <v>3.4524837120404012E-5</v>
      </c>
      <c r="HG18" s="10">
        <f t="shared" si="134"/>
        <v>0.30231724168786339</v>
      </c>
      <c r="HH18" s="10">
        <f t="shared" si="135"/>
        <v>4.5143980338111242E-3</v>
      </c>
      <c r="HI18" s="10">
        <f t="shared" si="136"/>
        <v>0.30686616455879495</v>
      </c>
      <c r="HJ18" s="20">
        <f t="shared" si="137"/>
        <v>1.1250780016768229E-4</v>
      </c>
      <c r="HK18" s="11">
        <f t="shared" si="138"/>
        <v>0.9851761992806477</v>
      </c>
      <c r="HL18" s="11">
        <f t="shared" si="139"/>
        <v>1.4711292919184561E-2</v>
      </c>
      <c r="HM18" s="26"/>
      <c r="HN18" s="16">
        <f>SQRT((Animation!$N20-HN$7)^2+(Animation!$O20-HO$7)^2)</f>
        <v>4.3240434946509989</v>
      </c>
      <c r="HO18" s="10">
        <f>SQRT((Animation!$N20-HN$8)^2+(Animation!$O20-HO$8)^2)</f>
        <v>0.74475904638096613</v>
      </c>
      <c r="HP18" s="10">
        <f>SQRT((Animation!$N20-HN$9)^2+(Animation!$O20-HO$9)^2)</f>
        <v>2.9936915127836197</v>
      </c>
      <c r="HQ18" s="19">
        <f t="shared" si="140"/>
        <v>3.4740145634895598E-5</v>
      </c>
      <c r="HR18" s="10">
        <f t="shared" si="141"/>
        <v>0.30231929503686344</v>
      </c>
      <c r="HS18" s="10">
        <f t="shared" si="142"/>
        <v>4.5164320331182199E-3</v>
      </c>
      <c r="HT18" s="10">
        <f t="shared" si="143"/>
        <v>0.30687046721561656</v>
      </c>
      <c r="HU18" s="20">
        <f t="shared" si="144"/>
        <v>1.1320784939036219E-4</v>
      </c>
      <c r="HV18" s="11">
        <f t="shared" si="145"/>
        <v>0.9851690772981575</v>
      </c>
      <c r="HW18" s="11">
        <f t="shared" si="146"/>
        <v>1.4717714852452182E-2</v>
      </c>
    </row>
    <row r="19" spans="2:231" x14ac:dyDescent="0.25">
      <c r="B19" s="16">
        <f>SQRT((Animation!$N21-B$7)^2+(Animation!$O21-C$7)^2)</f>
        <v>1.1180339887498949</v>
      </c>
      <c r="C19" s="10">
        <f>SQRT((Animation!$N21-B$8)^2+(Animation!$O21-C$8)^2)</f>
        <v>1.1180339887498949</v>
      </c>
      <c r="D19" s="10">
        <f>SQRT((Animation!$N21-B$9)^2+(Animation!$O21-C$9)^2)</f>
        <v>4.0311288741492746</v>
      </c>
      <c r="E19" s="19">
        <f t="shared" si="0"/>
        <v>0.2135384149042944</v>
      </c>
      <c r="F19" s="10">
        <f t="shared" si="1"/>
        <v>0.2135384149042944</v>
      </c>
      <c r="G19" s="10">
        <f t="shared" si="2"/>
        <v>1.1810475970970864E-4</v>
      </c>
      <c r="H19" s="10">
        <f t="shared" si="3"/>
        <v>0.42719493456829849</v>
      </c>
      <c r="I19" s="20">
        <f t="shared" si="4"/>
        <v>0.49986176713468167</v>
      </c>
      <c r="J19" s="11">
        <f t="shared" si="5"/>
        <v>0.49986176713468167</v>
      </c>
      <c r="K19" s="11">
        <f t="shared" si="6"/>
        <v>2.7646573063666899E-4</v>
      </c>
      <c r="L19" s="1"/>
      <c r="M19" s="16">
        <f>SQRT((Animation!$N21-M$7)^2+(Animation!$O21-N$7)^2)</f>
        <v>1.6331855064653771</v>
      </c>
      <c r="N19" s="10">
        <f>SQRT((Animation!$N21-M$8)^2+(Animation!$O21-N$8)^2)</f>
        <v>2.7193851728304042</v>
      </c>
      <c r="O19" s="10">
        <f>SQRT((Animation!$N21-M$9)^2+(Animation!$O21-N$9)^2)</f>
        <v>1.8154040677242498</v>
      </c>
      <c r="P19" s="19">
        <f t="shared" si="7"/>
        <v>0.10512701612971738</v>
      </c>
      <c r="Q19" s="10">
        <f t="shared" si="8"/>
        <v>9.887673562533391E-3</v>
      </c>
      <c r="R19" s="10">
        <f t="shared" si="9"/>
        <v>7.6782041734028542E-2</v>
      </c>
      <c r="S19" s="10">
        <f t="shared" si="10"/>
        <v>0.19179673142627932</v>
      </c>
      <c r="T19" s="20">
        <f t="shared" si="11"/>
        <v>0.54811682841490406</v>
      </c>
      <c r="U19" s="11">
        <f t="shared" si="12"/>
        <v>5.1552878346802819E-2</v>
      </c>
      <c r="V19" s="11">
        <f t="shared" si="13"/>
        <v>0.40033029323829311</v>
      </c>
      <c r="W19" s="1"/>
      <c r="X19" s="16">
        <f>SQRT((Animation!$N21-X$7)^2+(Animation!$O21-Y$7)^2)</f>
        <v>1.5408542587035743</v>
      </c>
      <c r="Y19" s="10">
        <f>SQRT((Animation!$N21-X$8)^2+(Animation!$O21-Y$8)^2)</f>
        <v>3.9741590061945393</v>
      </c>
      <c r="Z19" s="10">
        <f>SQRT((Animation!$N21-X$9)^2+(Animation!$O21-Y$9)^2)</f>
        <v>1.4930396767467602</v>
      </c>
      <c r="AA19" s="19">
        <f t="shared" si="14"/>
        <v>0.12171726102240581</v>
      </c>
      <c r="AB19" s="10">
        <f t="shared" si="15"/>
        <v>1.4835412044348901E-4</v>
      </c>
      <c r="AC19" s="10">
        <f t="shared" si="16"/>
        <v>0.13087373554639767</v>
      </c>
      <c r="AD19" s="10">
        <f t="shared" si="17"/>
        <v>0.25273935068924697</v>
      </c>
      <c r="AE19" s="20">
        <f t="shared" si="18"/>
        <v>0.48159204607620437</v>
      </c>
      <c r="AF19" s="11">
        <f t="shared" si="19"/>
        <v>5.8698465450240185E-4</v>
      </c>
      <c r="AG19" s="11">
        <f t="shared" si="20"/>
        <v>0.51782096926929322</v>
      </c>
      <c r="AH19" s="26"/>
      <c r="AI19" s="16">
        <f>SQRT((Animation!$N21-AI$7)^2+(Animation!$O21-AJ$7)^2)</f>
        <v>1.4679470744048861</v>
      </c>
      <c r="AJ19" s="10">
        <f>SQRT((Animation!$N21-AI$8)^2+(Animation!$O21-AJ$8)^2)</f>
        <v>4.2947347637086901</v>
      </c>
      <c r="AK19" s="10">
        <f>SQRT((Animation!$N21-AI$9)^2+(Animation!$O21-AJ$9)^2)</f>
        <v>1.5526025588666408</v>
      </c>
      <c r="AL19" s="19">
        <f t="shared" si="21"/>
        <v>0.1358270573178666</v>
      </c>
      <c r="AM19" s="10">
        <f t="shared" si="22"/>
        <v>3.9417058499910366E-5</v>
      </c>
      <c r="AN19" s="10">
        <f t="shared" si="23"/>
        <v>0.11952545878153802</v>
      </c>
      <c r="AO19" s="10">
        <f t="shared" si="24"/>
        <v>0.25539193315790454</v>
      </c>
      <c r="AP19" s="20">
        <f t="shared" si="25"/>
        <v>0.53183769603986286</v>
      </c>
      <c r="AQ19" s="11">
        <f t="shared" si="26"/>
        <v>1.5433948133177511E-4</v>
      </c>
      <c r="AR19" s="11">
        <f t="shared" si="27"/>
        <v>0.46800796447880533</v>
      </c>
      <c r="AS19" s="26"/>
      <c r="AT19" s="16">
        <f>SQRT((Animation!$N21-AT$7)^2+(Animation!$O21-AU$7)^2)</f>
        <v>1.2980597576762114</v>
      </c>
      <c r="AU19" s="10">
        <f>SQRT((Animation!$N21-AT$8)^2+(Animation!$O21-AU$8)^2)</f>
        <v>4.3264916415229768</v>
      </c>
      <c r="AV19" s="10">
        <f>SQRT((Animation!$N21-AT$9)^2+(Animation!$O21-AU$9)^2)</f>
        <v>1.7405968457677456</v>
      </c>
      <c r="AW19" s="19">
        <f t="shared" si="28"/>
        <v>0.17180105983370611</v>
      </c>
      <c r="AX19" s="10">
        <f t="shared" si="29"/>
        <v>3.4374226801122547E-5</v>
      </c>
      <c r="AY19" s="10">
        <f t="shared" si="30"/>
        <v>8.7704925076580578E-2</v>
      </c>
      <c r="AZ19" s="10">
        <f t="shared" si="31"/>
        <v>0.25954035913708778</v>
      </c>
      <c r="BA19" s="20">
        <f t="shared" si="32"/>
        <v>0.66194352356182773</v>
      </c>
      <c r="BB19" s="11">
        <f t="shared" si="33"/>
        <v>1.3244270338304598E-4</v>
      </c>
      <c r="BC19" s="11">
        <f t="shared" si="34"/>
        <v>0.3379240337347893</v>
      </c>
      <c r="BD19" s="26"/>
      <c r="BE19" s="16">
        <f>SQRT((Animation!$N21-BE$7)^2+(Animation!$O21-BF$7)^2)</f>
        <v>1.1189006910893915</v>
      </c>
      <c r="BF19" s="10">
        <f>SQRT((Animation!$N21-BE$8)^2+(Animation!$O21-BF$8)^2)</f>
        <v>4.2967638686798892</v>
      </c>
      <c r="BG19" s="10">
        <f>SQRT((Animation!$N21-BE$9)^2+(Animation!$O21-BF$9)^2)</f>
        <v>1.9251193146775092</v>
      </c>
      <c r="BH19" s="19">
        <f t="shared" si="35"/>
        <v>0.21333151570517209</v>
      </c>
      <c r="BI19" s="10">
        <f t="shared" si="36"/>
        <v>3.9074971743141871E-5</v>
      </c>
      <c r="BJ19" s="10">
        <f t="shared" si="37"/>
        <v>6.2538011627067472E-2</v>
      </c>
      <c r="BK19" s="10">
        <f t="shared" si="38"/>
        <v>0.27590860230398268</v>
      </c>
      <c r="BL19" s="20">
        <f t="shared" si="39"/>
        <v>0.7731963190844402</v>
      </c>
      <c r="BM19" s="11">
        <f t="shared" si="40"/>
        <v>1.4162288314624916E-4</v>
      </c>
      <c r="BN19" s="11">
        <f t="shared" si="41"/>
        <v>0.22666205803241368</v>
      </c>
      <c r="BO19" s="26"/>
      <c r="BP19" s="16">
        <f>SQRT((Animation!$N21-BP$7)^2+(Animation!$O21-BQ$7)^2)</f>
        <v>1.0900137206957947</v>
      </c>
      <c r="BQ19" s="10">
        <f>SQRT((Animation!$N21-BP$8)^2+(Animation!$O21-BQ$8)^2)</f>
        <v>4.3123173615808286</v>
      </c>
      <c r="BR19" s="10">
        <f>SQRT((Animation!$N21-BP$9)^2+(Animation!$O21-BQ$9)^2)</f>
        <v>2.0897511368352366</v>
      </c>
      <c r="BS19" s="19">
        <f t="shared" si="42"/>
        <v>0.2202474727137258</v>
      </c>
      <c r="BT19" s="10">
        <f t="shared" si="43"/>
        <v>3.6544529790625684E-5</v>
      </c>
      <c r="BU19" s="10">
        <f t="shared" si="44"/>
        <v>4.4938138267309011E-2</v>
      </c>
      <c r="BV19" s="10">
        <f t="shared" si="45"/>
        <v>0.26522215551082545</v>
      </c>
      <c r="BW19" s="20">
        <f t="shared" si="46"/>
        <v>0.83042637327761282</v>
      </c>
      <c r="BX19" s="11">
        <f t="shared" si="47"/>
        <v>1.3778837488233166E-4</v>
      </c>
      <c r="BY19" s="11">
        <f t="shared" si="48"/>
        <v>0.16943583834750484</v>
      </c>
      <c r="BZ19" s="26"/>
      <c r="CA19" s="16">
        <f>SQRT((Animation!$N21-CA$7)^2+(Animation!$O21-CB$7)^2)</f>
        <v>1.0588481085431147</v>
      </c>
      <c r="CB19" s="10">
        <f>SQRT((Animation!$N21-CA$8)^2+(Animation!$O21-CB$8)^2)</f>
        <v>4.3198316907943424</v>
      </c>
      <c r="CC19" s="10">
        <f>SQRT((Animation!$N21-CA$9)^2+(Animation!$O21-CB$9)^2)</f>
        <v>2.2418518219385359</v>
      </c>
      <c r="CD19" s="19">
        <f t="shared" si="49"/>
        <v>0.22774739254041618</v>
      </c>
      <c r="CE19" s="10">
        <f t="shared" si="50"/>
        <v>3.5378316575885582E-5</v>
      </c>
      <c r="CF19" s="10">
        <f t="shared" si="51"/>
        <v>3.2325841280546885E-2</v>
      </c>
      <c r="CG19" s="10">
        <f t="shared" si="52"/>
        <v>0.26010861213753894</v>
      </c>
      <c r="CH19" s="20">
        <f t="shared" si="53"/>
        <v>0.87558574346622953</v>
      </c>
      <c r="CI19" s="11">
        <f t="shared" si="54"/>
        <v>1.3601363017222364E-4</v>
      </c>
      <c r="CJ19" s="11">
        <f t="shared" si="55"/>
        <v>0.12427824290359824</v>
      </c>
      <c r="CK19" s="26"/>
      <c r="CL19" s="16">
        <f>SQRT((Animation!$N21-CL$7)^2+(Animation!$O21-CM$7)^2)</f>
        <v>1.0298395183545985</v>
      </c>
      <c r="CM19" s="10">
        <f>SQRT((Animation!$N21-CL$8)^2+(Animation!$O21-CM$8)^2)</f>
        <v>4.3114689446062737</v>
      </c>
      <c r="CN19" s="10">
        <f>SQRT((Animation!$N21-CL$9)^2+(Animation!$O21-CM$9)^2)</f>
        <v>2.4359740824772511</v>
      </c>
      <c r="CO19" s="19">
        <f t="shared" si="56"/>
        <v>0.23475256134931555</v>
      </c>
      <c r="CP19" s="10">
        <f t="shared" si="57"/>
        <v>3.6678464872124034E-5</v>
      </c>
      <c r="CQ19" s="10">
        <f t="shared" si="58"/>
        <v>2.0528863685604637E-2</v>
      </c>
      <c r="CR19" s="10">
        <f t="shared" si="59"/>
        <v>0.25531810349979234</v>
      </c>
      <c r="CS19" s="20">
        <f t="shared" si="60"/>
        <v>0.91945129676049975</v>
      </c>
      <c r="CT19" s="11">
        <f t="shared" si="61"/>
        <v>1.4365790897453485E-4</v>
      </c>
      <c r="CU19" s="11">
        <f t="shared" si="62"/>
        <v>8.0405045330525629E-2</v>
      </c>
      <c r="CV19" s="26"/>
      <c r="CW19" s="16">
        <f>SQRT((Animation!$N21-CW$7)^2+(Animation!$O21-CX$7)^2)</f>
        <v>0.99421193556504828</v>
      </c>
      <c r="CX19" s="10">
        <f>SQRT((Animation!$N21-CW$8)^2+(Animation!$O21-CX$8)^2)</f>
        <v>4.2946778202801879</v>
      </c>
      <c r="CY19" s="10">
        <f>SQRT((Animation!$N21-CW$9)^2+(Animation!$O21-CX$9)^2)</f>
        <v>2.7711443388036283</v>
      </c>
      <c r="CZ19" s="19">
        <f t="shared" si="63"/>
        <v>0.24337125100130311</v>
      </c>
      <c r="DA19" s="10">
        <f t="shared" si="64"/>
        <v>3.9426699329313525E-5</v>
      </c>
      <c r="DB19" s="10">
        <f t="shared" si="65"/>
        <v>8.5779612827789307E-3</v>
      </c>
      <c r="DC19" s="10">
        <f t="shared" si="66"/>
        <v>0.25198863898341134</v>
      </c>
      <c r="DD19" s="20">
        <f t="shared" si="67"/>
        <v>0.96580247420330911</v>
      </c>
      <c r="DE19" s="11">
        <f t="shared" si="68"/>
        <v>1.5646220991696782E-4</v>
      </c>
      <c r="DF19" s="11">
        <f t="shared" si="69"/>
        <v>3.4041063586773952E-2</v>
      </c>
      <c r="DG19" s="26"/>
      <c r="DH19" s="16">
        <f>SQRT((Animation!$N21-DH$7)^2+(Animation!$O21-DI$7)^2)</f>
        <v>0.9247703347530899</v>
      </c>
      <c r="DI19" s="10">
        <f>SQRT((Animation!$N21-DH$8)^2+(Animation!$O21-DI$8)^2)</f>
        <v>4.3164928208325506</v>
      </c>
      <c r="DJ19" s="10">
        <f>SQRT((Animation!$N21-DH$9)^2+(Animation!$O21-DI$9)^2)</f>
        <v>3.1639943018627856</v>
      </c>
      <c r="DK19" s="19">
        <f t="shared" si="70"/>
        <v>0.26013914469287486</v>
      </c>
      <c r="DL19" s="10">
        <f t="shared" si="71"/>
        <v>3.5892088264793072E-5</v>
      </c>
      <c r="DM19" s="10">
        <f t="shared" si="72"/>
        <v>2.6734954530774212E-3</v>
      </c>
      <c r="DN19" s="10">
        <f t="shared" si="73"/>
        <v>0.26284853223421706</v>
      </c>
      <c r="DO19" s="20">
        <f t="shared" si="74"/>
        <v>0.9896922097364883</v>
      </c>
      <c r="DP19" s="11">
        <f t="shared" si="75"/>
        <v>1.3655046105720927E-4</v>
      </c>
      <c r="DQ19" s="11">
        <f t="shared" si="76"/>
        <v>1.017123980245453E-2</v>
      </c>
      <c r="DR19" s="26"/>
      <c r="DS19" s="16">
        <f>SQRT((Animation!$N21-DS$7)^2+(Animation!$O21-DT$7)^2)</f>
        <v>0.79352102895515564</v>
      </c>
      <c r="DT19" s="10">
        <f>SQRT((Animation!$N21-DS$8)^2+(Animation!$O21-DT$8)^2)</f>
        <v>4.3337739031510383</v>
      </c>
      <c r="DU19" s="10">
        <f>SQRT((Animation!$N21-DS$9)^2+(Animation!$O21-DT$9)^2)</f>
        <v>3.3256525040302729</v>
      </c>
      <c r="DV19" s="19">
        <f t="shared" si="77"/>
        <v>0.29119086163449504</v>
      </c>
      <c r="DW19" s="10">
        <f t="shared" si="78"/>
        <v>3.3307210428880685E-5</v>
      </c>
      <c r="DX19" s="10">
        <f t="shared" si="79"/>
        <v>1.5822287542003506E-3</v>
      </c>
      <c r="DY19" s="10">
        <f t="shared" si="80"/>
        <v>0.29280639759912425</v>
      </c>
      <c r="DZ19" s="20">
        <f t="shared" si="81"/>
        <v>0.99448257969130505</v>
      </c>
      <c r="EA19" s="11">
        <f t="shared" si="82"/>
        <v>1.1375164853631703E-4</v>
      </c>
      <c r="EB19" s="11">
        <f t="shared" si="83"/>
        <v>5.4036686601586842E-3</v>
      </c>
      <c r="EC19" s="26"/>
      <c r="ED19" s="16">
        <f>SQRT((Animation!$N21-ED$7)^2+(Animation!$O21-EE$7)^2)</f>
        <v>0.6825570156180174</v>
      </c>
      <c r="EE19" s="10">
        <f>SQRT((Animation!$N21-ED$8)^2+(Animation!$O21-EE$8)^2)</f>
        <v>4.3348558299298032</v>
      </c>
      <c r="EF19" s="10">
        <f>SQRT((Animation!$N21-ED$9)^2+(Animation!$O21-EE$9)^2)</f>
        <v>3.4336959225155477</v>
      </c>
      <c r="EG19" s="19">
        <f t="shared" si="84"/>
        <v>0.31604187037394538</v>
      </c>
      <c r="EH19" s="10">
        <f t="shared" si="85"/>
        <v>3.3151384869829137E-5</v>
      </c>
      <c r="EI19" s="10">
        <f t="shared" si="86"/>
        <v>1.0982114496346776E-3</v>
      </c>
      <c r="EJ19" s="10">
        <f t="shared" si="87"/>
        <v>0.31717323320844987</v>
      </c>
      <c r="EK19" s="20">
        <f t="shared" si="88"/>
        <v>0.99643298136144753</v>
      </c>
      <c r="EL19" s="11">
        <f t="shared" si="89"/>
        <v>1.0452138263521648E-4</v>
      </c>
      <c r="EM19" s="11">
        <f t="shared" si="90"/>
        <v>3.4624972559173066E-3</v>
      </c>
      <c r="EN19" s="26"/>
      <c r="EO19" s="16">
        <f>SQRT((Animation!$N21-EO$7)^2+(Animation!$O21-EP$7)^2)</f>
        <v>0.60205655641727207</v>
      </c>
      <c r="EP19" s="10">
        <f>SQRT((Animation!$N21-EO$8)^2+(Animation!$O21-EP$8)^2)</f>
        <v>4.33485142417367</v>
      </c>
      <c r="EQ19" s="10">
        <f>SQRT((Animation!$N21-EO$9)^2+(Animation!$O21-EP$9)^2)</f>
        <v>3.5243838419155504</v>
      </c>
      <c r="ER19" s="19">
        <f t="shared" si="91"/>
        <v>0.3328129755485022</v>
      </c>
      <c r="ES19" s="10">
        <f t="shared" si="92"/>
        <v>3.3152018011232415E-5</v>
      </c>
      <c r="ET19" s="10">
        <f t="shared" si="93"/>
        <v>8.0105634841783589E-4</v>
      </c>
      <c r="EU19" s="10">
        <f t="shared" si="94"/>
        <v>0.33364718391493126</v>
      </c>
      <c r="EV19" s="20">
        <f t="shared" si="95"/>
        <v>0.99749972903520223</v>
      </c>
      <c r="EW19" s="11">
        <f t="shared" si="96"/>
        <v>9.9362499099303229E-5</v>
      </c>
      <c r="EX19" s="11">
        <f t="shared" si="97"/>
        <v>2.400908465698539E-3</v>
      </c>
      <c r="EY19" s="26"/>
      <c r="EZ19" s="16">
        <f>SQRT((Animation!$N21-EZ$7)^2+(Animation!$O21-FA$7)^2)</f>
        <v>0.54604295490304533</v>
      </c>
      <c r="FA19" s="10">
        <f>SQRT((Animation!$N21-EZ$8)^2+(Animation!$O21-FA$8)^2)</f>
        <v>4.3347654000824276</v>
      </c>
      <c r="FB19" s="10">
        <f>SQRT((Animation!$N21-EZ$9)^2+(Animation!$O21-FA$9)^2)</f>
        <v>3.5946417666359625</v>
      </c>
      <c r="FC19" s="19">
        <f t="shared" si="98"/>
        <v>0.34368835138709986</v>
      </c>
      <c r="FD19" s="10">
        <f t="shared" si="99"/>
        <v>3.3164382636160227E-5</v>
      </c>
      <c r="FE19" s="10">
        <f t="shared" si="100"/>
        <v>6.238109199416678E-4</v>
      </c>
      <c r="FF19" s="10">
        <f t="shared" si="101"/>
        <v>0.34434532668967771</v>
      </c>
      <c r="FG19" s="20">
        <f t="shared" si="102"/>
        <v>0.99809210332867415</v>
      </c>
      <c r="FH19" s="11">
        <f t="shared" si="103"/>
        <v>9.6311406212426414E-5</v>
      </c>
      <c r="FI19" s="11">
        <f t="shared" si="104"/>
        <v>1.8115852651133641E-3</v>
      </c>
      <c r="FJ19" s="26"/>
      <c r="FK19" s="16">
        <f>SQRT((Animation!$N21-FK$7)^2+(Animation!$O21-FL$7)^2)</f>
        <v>0.50899731608120768</v>
      </c>
      <c r="FL19" s="10">
        <f>SQRT((Animation!$N21-FK$8)^2+(Animation!$O21-FL$8)^2)</f>
        <v>4.3346584927784519</v>
      </c>
      <c r="FM19" s="10">
        <f>SQRT((Animation!$N21-FK$9)^2+(Animation!$O21-FL$9)^2)</f>
        <v>3.643838213050945</v>
      </c>
      <c r="FN19" s="19">
        <f t="shared" si="105"/>
        <v>0.35047087655758302</v>
      </c>
      <c r="FO19" s="10">
        <f t="shared" si="106"/>
        <v>3.3179754982833733E-5</v>
      </c>
      <c r="FP19" s="10">
        <f t="shared" si="107"/>
        <v>5.220657633175995E-4</v>
      </c>
      <c r="FQ19" s="10">
        <f t="shared" si="108"/>
        <v>0.35102612207588346</v>
      </c>
      <c r="FR19" s="20">
        <f t="shared" si="109"/>
        <v>0.99841822165536609</v>
      </c>
      <c r="FS19" s="11">
        <f t="shared" si="110"/>
        <v>9.452218195790301E-5</v>
      </c>
      <c r="FT19" s="11">
        <f t="shared" si="111"/>
        <v>1.4872561626759543E-3</v>
      </c>
      <c r="FU19" s="26"/>
      <c r="FV19" s="16">
        <f>SQRT((Animation!$N21-FV$7)^2+(Animation!$O21-FW$7)^2)</f>
        <v>0.48554430079536587</v>
      </c>
      <c r="FW19" s="10">
        <f>SQRT((Animation!$N21-FV$8)^2+(Animation!$O21-FW$8)^2)</f>
        <v>4.3345619271978562</v>
      </c>
      <c r="FX19" s="10">
        <f>SQRT((Animation!$N21-FV$9)^2+(Animation!$O21-FW$9)^2)</f>
        <v>3.6756462671368597</v>
      </c>
      <c r="FY19" s="19">
        <f t="shared" si="112"/>
        <v>0.35458217049358026</v>
      </c>
      <c r="FZ19" s="10">
        <f t="shared" si="113"/>
        <v>3.3193646077649258E-5</v>
      </c>
      <c r="GA19" s="10">
        <f t="shared" si="114"/>
        <v>4.646963977107271E-4</v>
      </c>
      <c r="GB19" s="10">
        <f t="shared" si="115"/>
        <v>0.35508006053736862</v>
      </c>
      <c r="GC19" s="20">
        <f t="shared" si="116"/>
        <v>0.99859780906020212</v>
      </c>
      <c r="GD19" s="11">
        <f t="shared" si="117"/>
        <v>9.3482146047330531E-5</v>
      </c>
      <c r="GE19" s="11">
        <f t="shared" si="118"/>
        <v>1.3087087937505362E-3</v>
      </c>
      <c r="GF19" s="26"/>
      <c r="GG19" s="16">
        <f>SQRT((Animation!$N21-GG$7)^2+(Animation!$O21-GH$7)^2)</f>
        <v>0.47116895570352141</v>
      </c>
      <c r="GH19" s="10">
        <f>SQRT((Animation!$N21-GG$8)^2+(Animation!$O21-GH$8)^2)</f>
        <v>4.3344896182266597</v>
      </c>
      <c r="GI19" s="10">
        <f>SQRT((Animation!$N21-GG$9)^2+(Animation!$O21-GH$9)^2)</f>
        <v>3.6952028221066113</v>
      </c>
      <c r="GJ19" s="19">
        <f t="shared" si="119"/>
        <v>0.35702887232453695</v>
      </c>
      <c r="GK19" s="10">
        <f t="shared" si="120"/>
        <v>3.3204051430029739E-5</v>
      </c>
      <c r="GL19" s="10">
        <f t="shared" si="121"/>
        <v>4.3238226796052539E-4</v>
      </c>
      <c r="GM19" s="10">
        <f t="shared" si="122"/>
        <v>0.35749445864392754</v>
      </c>
      <c r="GN19" s="20">
        <f t="shared" si="123"/>
        <v>0.99869764045810194</v>
      </c>
      <c r="GO19" s="11">
        <f t="shared" si="124"/>
        <v>9.2879905204633435E-5</v>
      </c>
      <c r="GP19" s="11">
        <f t="shared" si="125"/>
        <v>1.2094796366932999E-3</v>
      </c>
      <c r="GQ19" s="26"/>
      <c r="GR19" s="16">
        <f>SQRT((Animation!$N21-GR$7)^2+(Animation!$O21-GS$7)^2)</f>
        <v>0.46255102295625844</v>
      </c>
      <c r="GS19" s="10">
        <f>SQRT((Animation!$N21-GR$8)^2+(Animation!$O21-GS$8)^2)</f>
        <v>4.3344412183167815</v>
      </c>
      <c r="GT19" s="10">
        <f>SQRT((Animation!$N21-GR$9)^2+(Animation!$O21-GS$9)^2)</f>
        <v>3.7068935895279234</v>
      </c>
      <c r="GU19" s="19">
        <f t="shared" si="126"/>
        <v>0.35846822444109988</v>
      </c>
      <c r="GV19" s="10">
        <f t="shared" si="127"/>
        <v>3.3211017963513534E-5</v>
      </c>
      <c r="GW19" s="10">
        <f t="shared" si="128"/>
        <v>4.1407287409462608E-4</v>
      </c>
      <c r="GX19" s="10">
        <f t="shared" si="129"/>
        <v>0.358915508333158</v>
      </c>
      <c r="GY19" s="20">
        <f t="shared" si="130"/>
        <v>0.99875379056721358</v>
      </c>
      <c r="GZ19" s="11">
        <f t="shared" si="131"/>
        <v>9.2531576909978217E-5</v>
      </c>
      <c r="HA19" s="11">
        <f t="shared" si="132"/>
        <v>1.1536778558765119E-3</v>
      </c>
      <c r="HB19" s="26"/>
      <c r="HC19" s="16">
        <f>SQRT((Animation!$N21-HC$7)^2+(Animation!$O21-HD$7)^2)</f>
        <v>0.45745812870448166</v>
      </c>
      <c r="HD19" s="10">
        <f>SQRT((Animation!$N21-HC$8)^2+(Animation!$O21-HD$8)^2)</f>
        <v>4.3344108328327886</v>
      </c>
      <c r="HE19" s="10">
        <f>SQRT((Animation!$N21-HC$9)^2+(Animation!$O21-HD$9)^2)</f>
        <v>3.7137780562603582</v>
      </c>
      <c r="HF19" s="19">
        <f t="shared" si="133"/>
        <v>0.3593090120393615</v>
      </c>
      <c r="HG19" s="10">
        <f t="shared" si="134"/>
        <v>3.3215392263271547E-5</v>
      </c>
      <c r="HH19" s="10">
        <f t="shared" si="135"/>
        <v>4.0362987182378853E-4</v>
      </c>
      <c r="HI19" s="10">
        <f t="shared" si="136"/>
        <v>0.35974585730344855</v>
      </c>
      <c r="HJ19" s="20">
        <f t="shared" si="137"/>
        <v>0.99878568368413878</v>
      </c>
      <c r="HK19" s="11">
        <f t="shared" si="138"/>
        <v>9.2330159163595585E-5</v>
      </c>
      <c r="HL19" s="11">
        <f t="shared" si="139"/>
        <v>1.1219861566976251E-3</v>
      </c>
      <c r="HM19" s="26"/>
      <c r="HN19" s="16">
        <f>SQRT((Animation!$N21-HN$7)^2+(Animation!$O21-HO$7)^2)</f>
        <v>0.45447489862305485</v>
      </c>
      <c r="HO19" s="10">
        <f>SQRT((Animation!$N21-HN$8)^2+(Animation!$O21-HO$8)^2)</f>
        <v>4.3343924277204859</v>
      </c>
      <c r="HP19" s="10">
        <f>SQRT((Animation!$N21-HN$9)^2+(Animation!$O21-HO$9)^2)</f>
        <v>3.7177997163253056</v>
      </c>
      <c r="HQ19" s="19">
        <f t="shared" si="140"/>
        <v>0.3597980957713876</v>
      </c>
      <c r="HR19" s="10">
        <f t="shared" si="141"/>
        <v>3.3218042131826212E-5</v>
      </c>
      <c r="HS19" s="10">
        <f t="shared" si="142"/>
        <v>3.9764301653289505E-4</v>
      </c>
      <c r="HT19" s="10">
        <f t="shared" si="143"/>
        <v>0.36022895683005229</v>
      </c>
      <c r="HU19" s="20">
        <f t="shared" si="144"/>
        <v>0.99880392441946875</v>
      </c>
      <c r="HV19" s="11">
        <f t="shared" si="145"/>
        <v>9.2213692158839189E-5</v>
      </c>
      <c r="HW19" s="11">
        <f t="shared" si="146"/>
        <v>1.1038618883725492E-3</v>
      </c>
    </row>
    <row r="20" spans="2:231" x14ac:dyDescent="0.25">
      <c r="B20" s="16">
        <f>SQRT((Animation!$N22-B$7)^2+(Animation!$O22-C$7)^2)</f>
        <v>1.4142135623730951</v>
      </c>
      <c r="C20" s="10">
        <f>SQRT((Animation!$N22-B$8)^2+(Animation!$O22-C$8)^2)</f>
        <v>2.2360679774997898</v>
      </c>
      <c r="D20" s="10">
        <f>SQRT((Animation!$N22-B$9)^2+(Animation!$O22-C$9)^2)</f>
        <v>5.3851648071345037</v>
      </c>
      <c r="E20" s="19">
        <f t="shared" si="0"/>
        <v>0.14676266317373987</v>
      </c>
      <c r="F20" s="10">
        <f t="shared" si="1"/>
        <v>3.2747176537766633E-2</v>
      </c>
      <c r="G20" s="10">
        <f t="shared" si="2"/>
        <v>2.0120560661996592E-7</v>
      </c>
      <c r="H20" s="10">
        <f t="shared" si="3"/>
        <v>0.17951004091711312</v>
      </c>
      <c r="I20" s="20">
        <f t="shared" si="4"/>
        <v>0.81757355980719759</v>
      </c>
      <c r="J20" s="11">
        <f t="shared" si="5"/>
        <v>0.18242531933290182</v>
      </c>
      <c r="K20" s="11">
        <f t="shared" si="6"/>
        <v>1.1208599006050614E-6</v>
      </c>
      <c r="L20" s="1"/>
      <c r="M20" s="16">
        <f>SQRT((Animation!$N22-M$7)^2+(Animation!$O22-N$7)^2)</f>
        <v>1.7422845272475367</v>
      </c>
      <c r="N20" s="10">
        <f>SQRT((Animation!$N22-M$8)^2+(Animation!$O22-N$8)^2)</f>
        <v>3.8070974029526048</v>
      </c>
      <c r="O20" s="10">
        <f>SQRT((Animation!$N22-M$9)^2+(Animation!$O22-N$9)^2)</f>
        <v>3.2901121348040876</v>
      </c>
      <c r="P20" s="19">
        <f t="shared" si="7"/>
        <v>8.7447538961616347E-2</v>
      </c>
      <c r="Q20" s="10">
        <f t="shared" si="8"/>
        <v>2.8417115269512564E-4</v>
      </c>
      <c r="R20" s="10">
        <f t="shared" si="9"/>
        <v>1.7796163653394173E-3</v>
      </c>
      <c r="S20" s="10">
        <f t="shared" si="10"/>
        <v>8.9511326479650891E-2</v>
      </c>
      <c r="T20" s="20">
        <f t="shared" si="11"/>
        <v>0.97694383940892981</v>
      </c>
      <c r="U20" s="11">
        <f t="shared" si="12"/>
        <v>3.1746949114839435E-3</v>
      </c>
      <c r="V20" s="11">
        <f t="shared" si="13"/>
        <v>1.9881465679586229E-2</v>
      </c>
      <c r="W20" s="1"/>
      <c r="X20" s="16">
        <f>SQRT((Animation!$N22-X$7)^2+(Animation!$O22-Y$7)^2)</f>
        <v>1.1832968128610419</v>
      </c>
      <c r="Y20" s="10">
        <f>SQRT((Animation!$N22-X$8)^2+(Animation!$O22-Y$8)^2)</f>
        <v>4.8997125174355096</v>
      </c>
      <c r="Z20" s="10">
        <f>SQRT((Animation!$N22-X$9)^2+(Animation!$O22-Y$9)^2)</f>
        <v>2.9461666532654593</v>
      </c>
      <c r="AA20" s="19">
        <f t="shared" si="14"/>
        <v>0.19808992061333378</v>
      </c>
      <c r="AB20" s="10">
        <f t="shared" si="15"/>
        <v>2.4423987435417423E-6</v>
      </c>
      <c r="AC20" s="10">
        <f t="shared" si="16"/>
        <v>5.2010876718106168E-3</v>
      </c>
      <c r="AD20" s="10">
        <f t="shared" si="17"/>
        <v>0.20329345068388793</v>
      </c>
      <c r="AE20" s="20">
        <f t="shared" si="18"/>
        <v>0.97440384796928159</v>
      </c>
      <c r="AF20" s="11">
        <f t="shared" si="19"/>
        <v>1.2014153605664164E-5</v>
      </c>
      <c r="AG20" s="11">
        <f t="shared" si="20"/>
        <v>2.5584137877112782E-2</v>
      </c>
      <c r="AH20" s="26"/>
      <c r="AI20" s="16">
        <f>SQRT((Animation!$N22-AI$7)^2+(Animation!$O22-AJ$7)^2)</f>
        <v>0.82861892538090887</v>
      </c>
      <c r="AJ20" s="10">
        <f>SQRT((Animation!$N22-AI$8)^2+(Animation!$O22-AJ$8)^2)</f>
        <v>5.1214410561954917</v>
      </c>
      <c r="AK20" s="10">
        <f>SQRT((Animation!$N22-AI$9)^2+(Animation!$O22-AJ$9)^2)</f>
        <v>2.9975654056257173</v>
      </c>
      <c r="AL20" s="19">
        <f t="shared" si="21"/>
        <v>0.28301844834810336</v>
      </c>
      <c r="AM20" s="10">
        <f t="shared" si="22"/>
        <v>8.0411963487030923E-7</v>
      </c>
      <c r="AN20" s="10">
        <f t="shared" si="23"/>
        <v>4.4643229383173845E-3</v>
      </c>
      <c r="AO20" s="10">
        <f t="shared" si="24"/>
        <v>0.28748357540605562</v>
      </c>
      <c r="AP20" s="20">
        <f t="shared" si="25"/>
        <v>0.98446823596219191</v>
      </c>
      <c r="AQ20" s="11">
        <f t="shared" si="26"/>
        <v>2.7970976558731469E-6</v>
      </c>
      <c r="AR20" s="11">
        <f t="shared" si="27"/>
        <v>1.5528966940152182E-2</v>
      </c>
      <c r="AS20" s="26"/>
      <c r="AT20" s="16">
        <f>SQRT((Animation!$N22-AT$7)^2+(Animation!$O22-AU$7)^2)</f>
        <v>0.53928529663843627</v>
      </c>
      <c r="AU20" s="10">
        <f>SQRT((Animation!$N22-AT$8)^2+(Animation!$O22-AU$8)^2)</f>
        <v>5.0636371467042771</v>
      </c>
      <c r="AV20" s="10">
        <f>SQRT((Animation!$N22-AT$9)^2+(Animation!$O22-AU$9)^2)</f>
        <v>3.1686349235143143</v>
      </c>
      <c r="AW20" s="19">
        <f t="shared" si="28"/>
        <v>0.34495101801799172</v>
      </c>
      <c r="AX20" s="10">
        <f t="shared" si="29"/>
        <v>1.0793526335299316E-6</v>
      </c>
      <c r="AY20" s="10">
        <f t="shared" si="30"/>
        <v>2.6344991987247938E-3</v>
      </c>
      <c r="AZ20" s="10">
        <f t="shared" si="31"/>
        <v>0.34758659656935004</v>
      </c>
      <c r="BA20" s="20">
        <f t="shared" si="32"/>
        <v>0.99241749084294029</v>
      </c>
      <c r="BB20" s="11">
        <f t="shared" si="33"/>
        <v>3.1052769128126623E-6</v>
      </c>
      <c r="BC20" s="11">
        <f t="shared" si="34"/>
        <v>7.5794038801469199E-3</v>
      </c>
      <c r="BD20" s="26"/>
      <c r="BE20" s="16">
        <f>SQRT((Animation!$N22-BE$7)^2+(Animation!$O22-BF$7)^2)</f>
        <v>0.40502156051755628</v>
      </c>
      <c r="BF20" s="10">
        <f>SQRT((Animation!$N22-BE$8)^2+(Animation!$O22-BF$8)^2)</f>
        <v>4.925122099706619</v>
      </c>
      <c r="BG20" s="10">
        <f>SQRT((Animation!$N22-BE$9)^2+(Animation!$O22-BF$9)^2)</f>
        <v>3.3404153383261428</v>
      </c>
      <c r="BH20" s="19">
        <f t="shared" si="35"/>
        <v>0.36752653257707812</v>
      </c>
      <c r="BI20" s="10">
        <f t="shared" si="36"/>
        <v>2.1557920060603797E-6</v>
      </c>
      <c r="BJ20" s="10">
        <f t="shared" si="37"/>
        <v>1.5062595063628983E-3</v>
      </c>
      <c r="BK20" s="10">
        <f t="shared" si="38"/>
        <v>0.36903494787544711</v>
      </c>
      <c r="BL20" s="20">
        <f t="shared" si="39"/>
        <v>0.99591254078495006</v>
      </c>
      <c r="BM20" s="11">
        <f t="shared" si="40"/>
        <v>5.8417014932363007E-6</v>
      </c>
      <c r="BN20" s="11">
        <f t="shared" si="41"/>
        <v>4.0816175135566712E-3</v>
      </c>
      <c r="BO20" s="26"/>
      <c r="BP20" s="16">
        <f>SQRT((Animation!$N22-BP$7)^2+(Animation!$O22-BQ$7)^2)</f>
        <v>0.57689654674826851</v>
      </c>
      <c r="BQ20" s="10">
        <f>SQRT((Animation!$N22-BP$8)^2+(Animation!$O22-BQ$8)^2)</f>
        <v>4.8877461821086303</v>
      </c>
      <c r="BR20" s="10">
        <f>SQRT((Animation!$N22-BP$9)^2+(Animation!$O22-BQ$9)^2)</f>
        <v>3.4939672962514519</v>
      </c>
      <c r="BS20" s="19">
        <f t="shared" si="42"/>
        <v>0.33778578857284325</v>
      </c>
      <c r="BT20" s="10">
        <f t="shared" si="43"/>
        <v>2.5896964145992549E-6</v>
      </c>
      <c r="BU20" s="10">
        <f t="shared" si="44"/>
        <v>8.9128860924594325E-4</v>
      </c>
      <c r="BV20" s="10">
        <f t="shared" si="45"/>
        <v>0.33867966687850376</v>
      </c>
      <c r="BW20" s="20">
        <f t="shared" si="46"/>
        <v>0.99736069686763573</v>
      </c>
      <c r="BX20" s="11">
        <f t="shared" si="47"/>
        <v>7.6464478616847982E-6</v>
      </c>
      <c r="BY20" s="11">
        <f t="shared" si="48"/>
        <v>2.6316566845026442E-3</v>
      </c>
      <c r="BZ20" s="26"/>
      <c r="CA20" s="16">
        <f>SQRT((Animation!$N22-CA$7)^2+(Animation!$O22-CB$7)^2)</f>
        <v>0.60355303892714318</v>
      </c>
      <c r="CB20" s="10">
        <f>SQRT((Animation!$N22-CA$8)^2+(Animation!$O22-CB$8)^2)</f>
        <v>4.86671574299843</v>
      </c>
      <c r="CC20" s="10">
        <f>SQRT((Animation!$N22-CA$9)^2+(Animation!$O22-CB$9)^2)</f>
        <v>3.6338583484608962</v>
      </c>
      <c r="CD20" s="19">
        <f t="shared" si="49"/>
        <v>0.33251288471855983</v>
      </c>
      <c r="CE20" s="10">
        <f t="shared" si="50"/>
        <v>2.8694229969072616E-6</v>
      </c>
      <c r="CF20" s="10">
        <f t="shared" si="51"/>
        <v>5.4137314681446981E-4</v>
      </c>
      <c r="CG20" s="10">
        <f t="shared" si="52"/>
        <v>0.33305712728837122</v>
      </c>
      <c r="CH20" s="20">
        <f t="shared" si="53"/>
        <v>0.99836591826080279</v>
      </c>
      <c r="CI20" s="11">
        <f t="shared" si="54"/>
        <v>8.615407873925562E-6</v>
      </c>
      <c r="CJ20" s="11">
        <f t="shared" si="55"/>
        <v>1.625466331323191E-3</v>
      </c>
      <c r="CK20" s="26"/>
      <c r="CL20" s="16">
        <f>SQRT((Animation!$N22-CL$7)^2+(Animation!$O22-CM$7)^2)</f>
        <v>0.6235648161260029</v>
      </c>
      <c r="CM20" s="10">
        <f>SQRT((Animation!$N22-CL$8)^2+(Animation!$O22-CM$8)^2)</f>
        <v>4.8169137344847091</v>
      </c>
      <c r="CN20" s="10">
        <f>SQRT((Animation!$N22-CL$9)^2+(Animation!$O22-CM$9)^2)</f>
        <v>3.8119973971152952</v>
      </c>
      <c r="CO20" s="19">
        <f t="shared" si="56"/>
        <v>0.3284551194205188</v>
      </c>
      <c r="CP20" s="10">
        <f t="shared" si="57"/>
        <v>3.6518835004768596E-6</v>
      </c>
      <c r="CQ20" s="10">
        <f t="shared" si="58"/>
        <v>2.7891580077941443E-4</v>
      </c>
      <c r="CR20" s="10">
        <f t="shared" si="59"/>
        <v>0.32873768710479873</v>
      </c>
      <c r="CS20" s="20">
        <f t="shared" si="60"/>
        <v>0.99914044633346266</v>
      </c>
      <c r="CT20" s="11">
        <f t="shared" si="61"/>
        <v>1.1108806941604693E-5</v>
      </c>
      <c r="CU20" s="11">
        <f t="shared" si="62"/>
        <v>8.4844485959560364E-4</v>
      </c>
      <c r="CV20" s="26"/>
      <c r="CW20" s="16">
        <f>SQRT((Animation!$N22-CW$7)^2+(Animation!$O22-CX$7)^2)</f>
        <v>0.64972309979620324</v>
      </c>
      <c r="CX20" s="10">
        <f>SQRT((Animation!$N22-CW$8)^2+(Animation!$O22-CX$8)^2)</f>
        <v>4.7005599626653893</v>
      </c>
      <c r="CY20" s="10">
        <f>SQRT((Animation!$N22-CW$9)^2+(Animation!$O22-CX$9)^2)</f>
        <v>4.1203028456425113</v>
      </c>
      <c r="CZ20" s="19">
        <f t="shared" si="63"/>
        <v>0.32303048273847934</v>
      </c>
      <c r="DA20" s="10">
        <f t="shared" si="64"/>
        <v>6.3530819616539682E-6</v>
      </c>
      <c r="DB20" s="10">
        <f t="shared" si="65"/>
        <v>8.2115291596235814E-5</v>
      </c>
      <c r="DC20" s="10">
        <f t="shared" si="66"/>
        <v>0.32311895111203726</v>
      </c>
      <c r="DD20" s="20">
        <f t="shared" si="67"/>
        <v>0.99972620493705666</v>
      </c>
      <c r="DE20" s="11">
        <f t="shared" si="68"/>
        <v>1.9661743577061564E-5</v>
      </c>
      <c r="DF20" s="11">
        <f t="shared" si="69"/>
        <v>2.541333193662275E-4</v>
      </c>
      <c r="DG20" s="26"/>
      <c r="DH20" s="16">
        <f>SQRT((Animation!$N22-DH$7)^2+(Animation!$O22-DI$7)^2)</f>
        <v>0.70505816130816956</v>
      </c>
      <c r="DI20" s="10">
        <f>SQRT((Animation!$N22-DH$8)^2+(Animation!$O22-DI$8)^2)</f>
        <v>4.5508518688604305</v>
      </c>
      <c r="DJ20" s="10">
        <f>SQRT((Animation!$N22-DH$9)^2+(Animation!$O22-DI$9)^2)</f>
        <v>4.484324096298403</v>
      </c>
      <c r="DK20" s="19">
        <f t="shared" si="70"/>
        <v>0.31114630646874208</v>
      </c>
      <c r="DL20" s="10">
        <f t="shared" si="71"/>
        <v>1.2698014702465361E-5</v>
      </c>
      <c r="DM20" s="10">
        <f t="shared" si="72"/>
        <v>1.714987224714873E-5</v>
      </c>
      <c r="DN20" s="10">
        <f t="shared" si="73"/>
        <v>0.31117615435569168</v>
      </c>
      <c r="DO20" s="20">
        <f t="shared" si="74"/>
        <v>0.99990408041705059</v>
      </c>
      <c r="DP20" s="11">
        <f t="shared" si="75"/>
        <v>4.0806515938720751E-5</v>
      </c>
      <c r="DQ20" s="11">
        <f t="shared" si="76"/>
        <v>5.5113067010737175E-5</v>
      </c>
      <c r="DR20" s="26"/>
      <c r="DS20" s="16">
        <f>SQRT((Animation!$N22-DS$7)^2+(Animation!$O22-DT$7)^2)</f>
        <v>0.81855689966987644</v>
      </c>
      <c r="DT20" s="10">
        <f>SQRT((Animation!$N22-DS$8)^2+(Animation!$O22-DT$8)^2)</f>
        <v>4.5323983482597283</v>
      </c>
      <c r="DU20" s="10">
        <f>SQRT((Animation!$N22-DS$9)^2+(Animation!$O22-DT$9)^2)</f>
        <v>4.6326450514475725</v>
      </c>
      <c r="DV20" s="19">
        <f t="shared" si="77"/>
        <v>0.28537355655661739</v>
      </c>
      <c r="DW20" s="10">
        <f t="shared" si="78"/>
        <v>1.3808089707619385E-5</v>
      </c>
      <c r="DX20" s="10">
        <f t="shared" si="79"/>
        <v>8.7222038266965527E-6</v>
      </c>
      <c r="DY20" s="10">
        <f t="shared" si="80"/>
        <v>0.28539608685015172</v>
      </c>
      <c r="DZ20" s="20">
        <f t="shared" si="81"/>
        <v>0.99992105605307002</v>
      </c>
      <c r="EA20" s="11">
        <f t="shared" si="82"/>
        <v>4.8382197037163209E-5</v>
      </c>
      <c r="EB20" s="11">
        <f t="shared" si="83"/>
        <v>3.0561749892794353E-5</v>
      </c>
      <c r="EC20" s="26"/>
      <c r="ED20" s="16">
        <f>SQRT((Animation!$N22-ED$7)^2+(Animation!$O22-EE$7)^2)</f>
        <v>0.91943910132338846</v>
      </c>
      <c r="EE20" s="10">
        <f>SQRT((Animation!$N22-ED$8)^2+(Animation!$O22-EE$8)^2)</f>
        <v>4.5323900779680075</v>
      </c>
      <c r="EF20" s="10">
        <f>SQRT((Animation!$N22-ED$9)^2+(Animation!$O22-EE$9)^2)</f>
        <v>4.7307309790678564</v>
      </c>
      <c r="EG20" s="19">
        <f t="shared" si="84"/>
        <v>0.26142112565050829</v>
      </c>
      <c r="EH20" s="10">
        <f t="shared" si="85"/>
        <v>1.3808607302824788E-5</v>
      </c>
      <c r="EI20" s="10">
        <f t="shared" si="86"/>
        <v>5.5105488422796242E-6</v>
      </c>
      <c r="EJ20" s="10">
        <f t="shared" si="87"/>
        <v>0.2614404448066534</v>
      </c>
      <c r="EK20" s="20">
        <f t="shared" si="88"/>
        <v>0.9999261049446293</v>
      </c>
      <c r="EL20" s="11">
        <f t="shared" si="89"/>
        <v>5.2817410531246821E-5</v>
      </c>
      <c r="EM20" s="11">
        <f t="shared" si="90"/>
        <v>2.1077644839362613E-5</v>
      </c>
      <c r="EN20" s="26"/>
      <c r="EO20" s="16">
        <f>SQRT((Animation!$N22-EO$7)^2+(Animation!$O22-EP$7)^2)</f>
        <v>0.99446195617933908</v>
      </c>
      <c r="EP20" s="10">
        <f>SQRT((Animation!$N22-EO$8)^2+(Animation!$O22-EP$8)^2)</f>
        <v>4.5322224831900737</v>
      </c>
      <c r="EQ20" s="10">
        <f>SQRT((Animation!$N22-EO$9)^2+(Animation!$O22-EP$9)^2)</f>
        <v>4.8133061932551886</v>
      </c>
      <c r="ER20" s="19">
        <f t="shared" si="91"/>
        <v>0.24331075527625345</v>
      </c>
      <c r="ES20" s="10">
        <f t="shared" si="92"/>
        <v>1.3819100179427251E-5</v>
      </c>
      <c r="ET20" s="10">
        <f t="shared" si="93"/>
        <v>3.7158734678714367E-6</v>
      </c>
      <c r="EU20" s="10">
        <f t="shared" si="94"/>
        <v>0.24332829024990074</v>
      </c>
      <c r="EV20" s="20">
        <f t="shared" si="95"/>
        <v>0.99992793697095694</v>
      </c>
      <c r="EW20" s="11">
        <f t="shared" si="96"/>
        <v>5.6791999669396801E-5</v>
      </c>
      <c r="EX20" s="11">
        <f t="shared" si="97"/>
        <v>1.527102937375344E-5</v>
      </c>
      <c r="EY20" s="26"/>
      <c r="EZ20" s="16">
        <f>SQRT((Animation!$N22-EZ$7)^2+(Animation!$O22-FA$7)^2)</f>
        <v>1.0471748723382428</v>
      </c>
      <c r="FA20" s="10">
        <f>SQRT((Animation!$N22-EZ$8)^2+(Animation!$O22-FA$8)^2)</f>
        <v>4.5320562864315486</v>
      </c>
      <c r="FB20" s="10">
        <f>SQRT((Animation!$N22-EZ$9)^2+(Animation!$O22-FA$9)^2)</f>
        <v>4.8774429778532351</v>
      </c>
      <c r="FC20" s="19">
        <f t="shared" si="98"/>
        <v>0.23056415170776973</v>
      </c>
      <c r="FD20" s="10">
        <f t="shared" si="99"/>
        <v>1.3829513018192571E-5</v>
      </c>
      <c r="FE20" s="10">
        <f t="shared" si="100"/>
        <v>2.7233071988566395E-6</v>
      </c>
      <c r="FF20" s="10">
        <f t="shared" si="101"/>
        <v>0.23058070452798679</v>
      </c>
      <c r="FG20" s="20">
        <f t="shared" si="102"/>
        <v>0.99992821246577879</v>
      </c>
      <c r="FH20" s="11">
        <f t="shared" si="103"/>
        <v>5.9976887686688502E-5</v>
      </c>
      <c r="FI20" s="11">
        <f t="shared" si="104"/>
        <v>1.1810646534502619E-5</v>
      </c>
      <c r="FJ20" s="26"/>
      <c r="FK20" s="16">
        <f>SQRT((Animation!$N22-FK$7)^2+(Animation!$O22-FL$7)^2)</f>
        <v>1.0820000483044296</v>
      </c>
      <c r="FL20" s="10">
        <f>SQRT((Animation!$N22-FK$8)^2+(Animation!$O22-FL$8)^2)</f>
        <v>4.5319132062346776</v>
      </c>
      <c r="FM20" s="10">
        <f>SQRT((Animation!$N22-FK$9)^2+(Animation!$O22-FL$9)^2)</f>
        <v>4.9224523246305365</v>
      </c>
      <c r="FN20" s="19">
        <f t="shared" si="105"/>
        <v>0.2221726302691002</v>
      </c>
      <c r="FO20" s="10">
        <f t="shared" si="106"/>
        <v>1.3838483497938035E-5</v>
      </c>
      <c r="FP20" s="10">
        <f t="shared" si="107"/>
        <v>2.1843178448049607E-6</v>
      </c>
      <c r="FQ20" s="10">
        <f t="shared" si="108"/>
        <v>0.22218865307044292</v>
      </c>
      <c r="FR20" s="20">
        <f t="shared" si="109"/>
        <v>0.9999278865004072</v>
      </c>
      <c r="FS20" s="11">
        <f t="shared" si="110"/>
        <v>6.2282584221574395E-5</v>
      </c>
      <c r="FT20" s="11">
        <f t="shared" si="111"/>
        <v>9.8309153713283567E-6</v>
      </c>
      <c r="FU20" s="26"/>
      <c r="FV20" s="16">
        <f>SQRT((Animation!$N22-FV$7)^2+(Animation!$O22-FW$7)^2)</f>
        <v>1.1039014368853761</v>
      </c>
      <c r="FW20" s="10">
        <f>SQRT((Animation!$N22-FV$8)^2+(Animation!$O22-FW$8)^2)</f>
        <v>4.5318043345682693</v>
      </c>
      <c r="FX20" s="10">
        <f>SQRT((Animation!$N22-FV$9)^2+(Animation!$O22-FW$9)^2)</f>
        <v>4.9516055087195605</v>
      </c>
      <c r="FY20" s="19">
        <f t="shared" si="112"/>
        <v>0.21691759927847457</v>
      </c>
      <c r="FZ20" s="10">
        <f t="shared" si="113"/>
        <v>1.3845312966035161E-5</v>
      </c>
      <c r="GA20" s="10">
        <f t="shared" si="114"/>
        <v>1.8915062470251962E-6</v>
      </c>
      <c r="GB20" s="10">
        <f t="shared" si="115"/>
        <v>0.21693333609768761</v>
      </c>
      <c r="GC20" s="20">
        <f t="shared" si="116"/>
        <v>0.99992745781032955</v>
      </c>
      <c r="GD20" s="11">
        <f t="shared" si="117"/>
        <v>6.3822892392160764E-5</v>
      </c>
      <c r="GE20" s="11">
        <f t="shared" si="118"/>
        <v>8.7192972783741677E-6</v>
      </c>
      <c r="GF20" s="26"/>
      <c r="GG20" s="16">
        <f>SQRT((Animation!$N22-GG$7)^2+(Animation!$O22-GH$7)^2)</f>
        <v>1.1172257901538629</v>
      </c>
      <c r="GH20" s="10">
        <f>SQRT((Animation!$N22-GG$8)^2+(Animation!$O22-GH$8)^2)</f>
        <v>4.5317298416789358</v>
      </c>
      <c r="GI20" s="10">
        <f>SQRT((Animation!$N22-GG$9)^2+(Animation!$O22-GH$9)^2)</f>
        <v>4.969553988782498</v>
      </c>
      <c r="GJ20" s="19">
        <f t="shared" si="119"/>
        <v>0.21373138422624682</v>
      </c>
      <c r="GK20" s="10">
        <f t="shared" si="120"/>
        <v>1.3849987717057567E-5</v>
      </c>
      <c r="GL20" s="10">
        <f t="shared" si="121"/>
        <v>1.7303757838978104E-6</v>
      </c>
      <c r="GM20" s="10">
        <f t="shared" si="122"/>
        <v>0.21374696458974779</v>
      </c>
      <c r="GN20" s="20">
        <f t="shared" si="123"/>
        <v>0.9999271083754061</v>
      </c>
      <c r="GO20" s="11">
        <f t="shared" si="124"/>
        <v>6.4796184327765055E-5</v>
      </c>
      <c r="GP20" s="11">
        <f t="shared" si="125"/>
        <v>8.0954402661061525E-6</v>
      </c>
      <c r="GQ20" s="26"/>
      <c r="GR20" s="16">
        <f>SQRT((Animation!$N22-GR$7)^2+(Animation!$O22-GS$7)^2)</f>
        <v>1.1251661065349055</v>
      </c>
      <c r="GS20" s="10">
        <f>SQRT((Animation!$N22-GR$8)^2+(Animation!$O22-GS$8)^2)</f>
        <v>4.5316824057018623</v>
      </c>
      <c r="GT20" s="10">
        <f>SQRT((Animation!$N22-GR$9)^2+(Animation!$O22-GS$9)^2)</f>
        <v>4.9802935065318197</v>
      </c>
      <c r="GU20" s="19">
        <f t="shared" si="126"/>
        <v>0.21183705319504367</v>
      </c>
      <c r="GV20" s="10">
        <f t="shared" si="127"/>
        <v>1.3852965312269267E-5</v>
      </c>
      <c r="GW20" s="10">
        <f t="shared" si="128"/>
        <v>1.6403511243906092E-6</v>
      </c>
      <c r="GX20" s="10">
        <f t="shared" si="129"/>
        <v>0.21185254651148031</v>
      </c>
      <c r="GY20" s="20">
        <f t="shared" si="130"/>
        <v>0.99992686745242498</v>
      </c>
      <c r="GZ20" s="11">
        <f t="shared" si="131"/>
        <v>6.5389656817358932E-5</v>
      </c>
      <c r="HA20" s="11">
        <f t="shared" si="132"/>
        <v>7.7428907577550336E-6</v>
      </c>
      <c r="HB20" s="26"/>
      <c r="HC20" s="16">
        <f>SQRT((Animation!$N22-HC$7)^2+(Animation!$O22-HD$7)^2)</f>
        <v>1.1298394336199704</v>
      </c>
      <c r="HD20" s="10">
        <f>SQRT((Animation!$N22-HC$8)^2+(Animation!$O22-HD$8)^2)</f>
        <v>4.5316534554477581</v>
      </c>
      <c r="HE20" s="10">
        <f>SQRT((Animation!$N22-HC$9)^2+(Animation!$O22-HD$9)^2)</f>
        <v>4.9866216420469645</v>
      </c>
      <c r="HF20" s="19">
        <f t="shared" si="133"/>
        <v>0.21072377927625977</v>
      </c>
      <c r="HG20" s="10">
        <f t="shared" si="134"/>
        <v>1.3854782842711039E-5</v>
      </c>
      <c r="HH20" s="10">
        <f t="shared" si="135"/>
        <v>1.5894281926617976E-6</v>
      </c>
      <c r="HI20" s="10">
        <f t="shared" si="136"/>
        <v>0.21073922348729515</v>
      </c>
      <c r="HJ20" s="20">
        <f t="shared" si="137"/>
        <v>0.99992671411244749</v>
      </c>
      <c r="HK20" s="11">
        <f t="shared" si="138"/>
        <v>6.5743731107305241E-5</v>
      </c>
      <c r="HL20" s="11">
        <f t="shared" si="139"/>
        <v>7.5421564451081863E-6</v>
      </c>
      <c r="HM20" s="26"/>
      <c r="HN20" s="16">
        <f>SQRT((Animation!$N22-HN$7)^2+(Animation!$O22-HO$7)^2)</f>
        <v>1.1325698399568758</v>
      </c>
      <c r="HO20" s="10">
        <f>SQRT((Animation!$N22-HN$8)^2+(Animation!$O22-HO$8)^2)</f>
        <v>4.5316362015423239</v>
      </c>
      <c r="HP20" s="10">
        <f>SQRT((Animation!$N22-HN$9)^2+(Animation!$O22-HO$9)^2)</f>
        <v>4.9903197050300037</v>
      </c>
      <c r="HQ20" s="19">
        <f t="shared" si="140"/>
        <v>0.21007393172369848</v>
      </c>
      <c r="HR20" s="10">
        <f t="shared" si="141"/>
        <v>1.3855866170739022E-5</v>
      </c>
      <c r="HS20" s="10">
        <f t="shared" si="142"/>
        <v>1.5603757311375195E-6</v>
      </c>
      <c r="HT20" s="10">
        <f t="shared" si="143"/>
        <v>0.21008934796560033</v>
      </c>
      <c r="HU20" s="20">
        <f t="shared" si="144"/>
        <v>0.9999266205447771</v>
      </c>
      <c r="HV20" s="11">
        <f t="shared" si="145"/>
        <v>6.5952254623626892E-5</v>
      </c>
      <c r="HW20" s="11">
        <f t="shared" si="146"/>
        <v>7.4272005993993218E-6</v>
      </c>
    </row>
    <row r="21" spans="2:231" x14ac:dyDescent="0.25">
      <c r="B21" s="16">
        <f>SQRT((Animation!$N23-B$7)^2+(Animation!$O23-C$7)^2)</f>
        <v>2.2360679774997898</v>
      </c>
      <c r="C21" s="10">
        <f>SQRT((Animation!$N23-B$8)^2+(Animation!$O23-C$8)^2)</f>
        <v>2.8284271247461903</v>
      </c>
      <c r="D21" s="10">
        <f>SQRT((Animation!$N23-B$9)^2+(Animation!$O23-C$9)^2)</f>
        <v>5.0990195135927845</v>
      </c>
      <c r="E21" s="19">
        <f t="shared" si="0"/>
        <v>3.2747176537766633E-2</v>
      </c>
      <c r="F21" s="10">
        <f t="shared" si="1"/>
        <v>7.30688274528077E-3</v>
      </c>
      <c r="G21" s="10">
        <f t="shared" si="2"/>
        <v>9.0174096807944157E-7</v>
      </c>
      <c r="H21" s="10">
        <f t="shared" si="3"/>
        <v>4.0054961024015477E-2</v>
      </c>
      <c r="I21" s="20">
        <f t="shared" si="4"/>
        <v>0.81755607047358336</v>
      </c>
      <c r="J21" s="11">
        <f t="shared" si="5"/>
        <v>0.18242141693509159</v>
      </c>
      <c r="K21" s="11">
        <f t="shared" si="6"/>
        <v>2.2512591325174201E-5</v>
      </c>
      <c r="L21" s="1"/>
      <c r="M21" s="16">
        <f>SQRT((Animation!$N23-M$7)^2+(Animation!$O23-N$7)^2)</f>
        <v>2.6554506048553215</v>
      </c>
      <c r="N21" s="10">
        <f>SQRT((Animation!$N23-M$8)^2+(Animation!$O23-N$8)^2)</f>
        <v>4.4573331078571403</v>
      </c>
      <c r="O21" s="10">
        <f>SQRT((Animation!$N23-M$9)^2+(Animation!$O23-N$9)^2)</f>
        <v>3.5661234941529574</v>
      </c>
      <c r="P21" s="19">
        <f t="shared" si="7"/>
        <v>1.1741244200265757E-2</v>
      </c>
      <c r="Q21" s="10">
        <f t="shared" si="8"/>
        <v>1.9349427017911205E-5</v>
      </c>
      <c r="R21" s="10">
        <f t="shared" si="9"/>
        <v>6.9087135690919753E-4</v>
      </c>
      <c r="S21" s="10">
        <f t="shared" si="10"/>
        <v>1.2451464984192865E-2</v>
      </c>
      <c r="T21" s="20">
        <f t="shared" si="11"/>
        <v>0.94296086566289716</v>
      </c>
      <c r="U21" s="11">
        <f t="shared" si="12"/>
        <v>1.5539879879576661E-3</v>
      </c>
      <c r="V21" s="11">
        <f t="shared" si="13"/>
        <v>5.5485146349145156E-2</v>
      </c>
      <c r="W21" s="1"/>
      <c r="X21" s="16">
        <f>SQRT((Animation!$N23-X$7)^2+(Animation!$O23-Y$7)^2)</f>
        <v>2.1467707436767793</v>
      </c>
      <c r="Y21" s="10">
        <f>SQRT((Animation!$N23-X$8)^2+(Animation!$O23-Y$8)^2)</f>
        <v>5.6471104459010499</v>
      </c>
      <c r="Z21" s="10">
        <f>SQRT((Animation!$N23-X$9)^2+(Animation!$O23-Y$9)^2)</f>
        <v>3.2735622727329257</v>
      </c>
      <c r="AA21" s="19">
        <f t="shared" si="14"/>
        <v>3.98253814069695E-2</v>
      </c>
      <c r="AB21" s="10">
        <f t="shared" si="15"/>
        <v>4.7436838464174344E-8</v>
      </c>
      <c r="AC21" s="10">
        <f t="shared" si="16"/>
        <v>1.8789474800833899E-3</v>
      </c>
      <c r="AD21" s="10">
        <f t="shared" si="17"/>
        <v>4.1704376323891353E-2</v>
      </c>
      <c r="AE21" s="20">
        <f t="shared" si="18"/>
        <v>0.95494489829247431</v>
      </c>
      <c r="AF21" s="11">
        <f t="shared" si="19"/>
        <v>1.1374546905044834E-6</v>
      </c>
      <c r="AG21" s="11">
        <f t="shared" si="20"/>
        <v>4.5053964252835255E-2</v>
      </c>
      <c r="AH21" s="26"/>
      <c r="AI21" s="16">
        <f>SQRT((Animation!$N23-AI$7)^2+(Animation!$O23-AJ$7)^2)</f>
        <v>1.8054828342815066</v>
      </c>
      <c r="AJ21" s="10">
        <f>SQRT((Animation!$N23-AI$8)^2+(Animation!$O23-AJ$8)^2)</f>
        <v>5.9148811392185809</v>
      </c>
      <c r="AK21" s="10">
        <f>SQRT((Animation!$N23-AI$9)^2+(Animation!$O23-AJ$9)^2)</f>
        <v>3.3374210942499678</v>
      </c>
      <c r="AL21" s="19">
        <f t="shared" si="21"/>
        <v>7.8173648365228873E-2</v>
      </c>
      <c r="AM21" s="10">
        <f t="shared" si="22"/>
        <v>1.0088718891825647E-8</v>
      </c>
      <c r="AN21" s="10">
        <f t="shared" si="23"/>
        <v>1.5213939174915853E-3</v>
      </c>
      <c r="AO21" s="10">
        <f t="shared" si="24"/>
        <v>7.969505237143934E-2</v>
      </c>
      <c r="AP21" s="20">
        <f t="shared" si="25"/>
        <v>0.98090968057691241</v>
      </c>
      <c r="AQ21" s="11">
        <f t="shared" si="26"/>
        <v>1.2659153349701776E-7</v>
      </c>
      <c r="AR21" s="11">
        <f t="shared" si="27"/>
        <v>1.9090192831554168E-2</v>
      </c>
      <c r="AS21" s="26"/>
      <c r="AT21" s="16">
        <f>SQRT((Animation!$N23-AT$7)^2+(Animation!$O23-AU$7)^2)</f>
        <v>1.4853004117223738</v>
      </c>
      <c r="AU21" s="10">
        <f>SQRT((Animation!$N23-AT$8)^2+(Animation!$O23-AU$8)^2)</f>
        <v>5.8918101609650257</v>
      </c>
      <c r="AV21" s="10">
        <f>SQRT((Animation!$N23-AT$9)^2+(Animation!$O23-AU$9)^2)</f>
        <v>3.53139073100321</v>
      </c>
      <c r="AW21" s="19">
        <f t="shared" si="28"/>
        <v>0.13239079133665824</v>
      </c>
      <c r="AX21" s="10">
        <f t="shared" si="29"/>
        <v>1.156072777198189E-8</v>
      </c>
      <c r="AY21" s="10">
        <f t="shared" si="30"/>
        <v>7.8149736431002467E-4</v>
      </c>
      <c r="AZ21" s="10">
        <f t="shared" si="31"/>
        <v>0.13317230026169602</v>
      </c>
      <c r="BA21" s="20">
        <f t="shared" si="32"/>
        <v>0.99413159550820973</v>
      </c>
      <c r="BB21" s="11">
        <f t="shared" si="33"/>
        <v>8.681030326324603E-8</v>
      </c>
      <c r="BC21" s="11">
        <f t="shared" si="34"/>
        <v>5.8683176814871355E-3</v>
      </c>
      <c r="BD21" s="26"/>
      <c r="BE21" s="16">
        <f>SQRT((Animation!$N23-BE$7)^2+(Animation!$O23-BF$7)^2)</f>
        <v>0.96306587161672563</v>
      </c>
      <c r="BF21" s="10">
        <f>SQRT((Animation!$N23-BE$8)^2+(Animation!$O23-BF$8)^2)</f>
        <v>5.7895647566544728</v>
      </c>
      <c r="BG21" s="10">
        <f>SQRT((Animation!$N23-BE$9)^2+(Animation!$O23-BF$9)^2)</f>
        <v>3.7189367369354782</v>
      </c>
      <c r="BH21" s="19">
        <f t="shared" si="35"/>
        <v>0.25090360191329752</v>
      </c>
      <c r="BI21" s="10">
        <f t="shared" si="36"/>
        <v>2.1005772228836449E-8</v>
      </c>
      <c r="BJ21" s="10">
        <f t="shared" si="37"/>
        <v>3.959653859019099E-4</v>
      </c>
      <c r="BK21" s="10">
        <f t="shared" si="38"/>
        <v>0.25129958830497168</v>
      </c>
      <c r="BL21" s="20">
        <f t="shared" si="39"/>
        <v>0.99842424576042843</v>
      </c>
      <c r="BM21" s="11">
        <f t="shared" si="40"/>
        <v>8.3588566024009171E-8</v>
      </c>
      <c r="BN21" s="11">
        <f t="shared" si="41"/>
        <v>1.5756706510055042E-3</v>
      </c>
      <c r="BO21" s="26"/>
      <c r="BP21" s="16">
        <f>SQRT((Animation!$N23-BP$7)^2+(Animation!$O23-BQ$7)^2)</f>
        <v>0.80599572840289091</v>
      </c>
      <c r="BQ21" s="10">
        <f>SQRT((Animation!$N23-BP$8)^2+(Animation!$O23-BQ$8)^2)</f>
        <v>5.7682367495387874</v>
      </c>
      <c r="BR21" s="10">
        <f>SQRT((Animation!$N23-BP$9)^2+(Animation!$O23-BQ$9)^2)</f>
        <v>3.885738761820964</v>
      </c>
      <c r="BS21" s="19">
        <f t="shared" si="42"/>
        <v>0.28830016837625988</v>
      </c>
      <c r="BT21" s="10">
        <f t="shared" si="43"/>
        <v>2.3761097972174102E-8</v>
      </c>
      <c r="BU21" s="10">
        <f t="shared" si="44"/>
        <v>2.0999614264689338E-4</v>
      </c>
      <c r="BV21" s="10">
        <f t="shared" si="45"/>
        <v>0.28851018828000474</v>
      </c>
      <c r="BW21" s="20">
        <f t="shared" si="46"/>
        <v>0.99927205377045114</v>
      </c>
      <c r="BX21" s="11">
        <f t="shared" si="47"/>
        <v>8.2357916418235794E-8</v>
      </c>
      <c r="BY21" s="11">
        <f t="shared" si="48"/>
        <v>7.27863871632457E-4</v>
      </c>
      <c r="BZ21" s="26"/>
      <c r="CA21" s="16">
        <f>SQRT((Animation!$N23-CA$7)^2+(Animation!$O23-CB$7)^2)</f>
        <v>0.82549554385517865</v>
      </c>
      <c r="CB21" s="10">
        <f>SQRT((Animation!$N23-CA$8)^2+(Animation!$O23-CB$8)^2)</f>
        <v>5.7553750538862642</v>
      </c>
      <c r="CC21" s="10">
        <f>SQRT((Animation!$N23-CA$9)^2+(Animation!$O23-CB$9)^2)</f>
        <v>4.0399876061119411</v>
      </c>
      <c r="CD21" s="19">
        <f t="shared" si="49"/>
        <v>0.2837504910353254</v>
      </c>
      <c r="CE21" s="10">
        <f t="shared" si="50"/>
        <v>2.5588839471755192E-8</v>
      </c>
      <c r="CF21" s="10">
        <f t="shared" si="51"/>
        <v>1.1395710389848256E-4</v>
      </c>
      <c r="CG21" s="10">
        <f t="shared" si="52"/>
        <v>0.28386447372806339</v>
      </c>
      <c r="CH21" s="20">
        <f t="shared" si="53"/>
        <v>0.99959846087380699</v>
      </c>
      <c r="CI21" s="11">
        <f t="shared" si="54"/>
        <v>9.0144564889330951E-8</v>
      </c>
      <c r="CJ21" s="11">
        <f t="shared" si="55"/>
        <v>4.0144898162794131E-4</v>
      </c>
      <c r="CK21" s="26"/>
      <c r="CL21" s="16">
        <f>SQRT((Animation!$N23-CL$7)^2+(Animation!$O23-CM$7)^2)</f>
        <v>0.84812263072123917</v>
      </c>
      <c r="CM21" s="10">
        <f>SQRT((Animation!$N23-CL$8)^2+(Animation!$O23-CM$8)^2)</f>
        <v>5.7166742358979548</v>
      </c>
      <c r="CN21" s="10">
        <f>SQRT((Animation!$N23-CL$9)^2+(Animation!$O23-CM$9)^2)</f>
        <v>4.236248435481599</v>
      </c>
      <c r="CO21" s="19">
        <f t="shared" si="56"/>
        <v>0.27842834783783849</v>
      </c>
      <c r="CP21" s="10">
        <f t="shared" si="57"/>
        <v>3.1949136186826789E-8</v>
      </c>
      <c r="CQ21" s="10">
        <f t="shared" si="58"/>
        <v>5.0585836254944088E-5</v>
      </c>
      <c r="CR21" s="10">
        <f t="shared" si="59"/>
        <v>0.2784789656232296</v>
      </c>
      <c r="CS21" s="20">
        <f t="shared" si="60"/>
        <v>0.99981823479817289</v>
      </c>
      <c r="CT21" s="11">
        <f t="shared" si="61"/>
        <v>1.147272869077395E-7</v>
      </c>
      <c r="CU21" s="11">
        <f t="shared" si="62"/>
        <v>1.816504745402732E-4</v>
      </c>
      <c r="CV21" s="26"/>
      <c r="CW21" s="16">
        <f>SQRT((Animation!$N23-CW$7)^2+(Animation!$O23-CX$7)^2)</f>
        <v>0.87602666933217643</v>
      </c>
      <c r="CX21" s="10">
        <f>SQRT((Animation!$N23-CW$8)^2+(Animation!$O23-CX$8)^2)</f>
        <v>5.6243832467805888</v>
      </c>
      <c r="CY21" s="10">
        <f>SQRT((Animation!$N23-CW$9)^2+(Animation!$O23-CX$9)^2)</f>
        <v>4.5734631798175407</v>
      </c>
      <c r="CZ21" s="19">
        <f t="shared" si="63"/>
        <v>0.27181056816176474</v>
      </c>
      <c r="DA21" s="10">
        <f t="shared" si="64"/>
        <v>5.3919050143110952E-8</v>
      </c>
      <c r="DB21" s="10">
        <f t="shared" si="65"/>
        <v>1.1453430546641559E-5</v>
      </c>
      <c r="DC21" s="10">
        <f t="shared" si="66"/>
        <v>0.27182207551136156</v>
      </c>
      <c r="DD21" s="20">
        <f t="shared" si="67"/>
        <v>0.9999576658754622</v>
      </c>
      <c r="DE21" s="11">
        <f t="shared" si="68"/>
        <v>1.9836155706513709E-7</v>
      </c>
      <c r="DF21" s="11">
        <f t="shared" si="69"/>
        <v>4.2135762980600265E-5</v>
      </c>
      <c r="DG21" s="26"/>
      <c r="DH21" s="16">
        <f>SQRT((Animation!$N23-DH$7)^2+(Animation!$O23-DI$7)^2)</f>
        <v>0.93087781767505884</v>
      </c>
      <c r="DI21" s="10">
        <f>SQRT((Animation!$N23-DH$8)^2+(Animation!$O23-DI$8)^2)</f>
        <v>5.5084006823992331</v>
      </c>
      <c r="DJ21" s="10">
        <f>SQRT((Animation!$N23-DH$9)^2+(Animation!$O23-DI$9)^2)</f>
        <v>4.9667198805342316</v>
      </c>
      <c r="DK21" s="19">
        <f t="shared" si="70"/>
        <v>0.25866919088867285</v>
      </c>
      <c r="DL21" s="10">
        <f t="shared" si="71"/>
        <v>1.0283114404898118E-7</v>
      </c>
      <c r="DM21" s="10">
        <f t="shared" si="72"/>
        <v>1.7549122205961428E-6</v>
      </c>
      <c r="DN21" s="10">
        <f t="shared" si="73"/>
        <v>0.25867104863203749</v>
      </c>
      <c r="DO21" s="20">
        <f t="shared" si="74"/>
        <v>0.99999281812412144</v>
      </c>
      <c r="DP21" s="11">
        <f t="shared" si="75"/>
        <v>3.9753634816418769E-7</v>
      </c>
      <c r="DQ21" s="11">
        <f t="shared" si="76"/>
        <v>6.7843395303682607E-6</v>
      </c>
      <c r="DR21" s="26"/>
      <c r="DS21" s="16">
        <f>SQRT((Animation!$N23-DS$7)^2+(Animation!$O23-DT$7)^2)</f>
        <v>1.0390037373527301</v>
      </c>
      <c r="DT21" s="10">
        <f>SQRT((Animation!$N23-DS$8)^2+(Animation!$O23-DT$8)^2)</f>
        <v>5.4958212040268997</v>
      </c>
      <c r="DU21" s="10">
        <f>SQRT((Animation!$N23-DS$9)^2+(Animation!$O23-DT$9)^2)</f>
        <v>5.1280158296409066</v>
      </c>
      <c r="DV21" s="19">
        <f t="shared" si="77"/>
        <v>0.23253770005602439</v>
      </c>
      <c r="DW21" s="10">
        <f t="shared" si="78"/>
        <v>1.1020055691992797E-7</v>
      </c>
      <c r="DX21" s="10">
        <f t="shared" si="79"/>
        <v>7.7747705255403858E-7</v>
      </c>
      <c r="DY21" s="10">
        <f t="shared" si="80"/>
        <v>0.23253858773363387</v>
      </c>
      <c r="DZ21" s="20">
        <f t="shared" si="81"/>
        <v>0.99999618266534551</v>
      </c>
      <c r="EA21" s="11">
        <f t="shared" si="82"/>
        <v>4.7390223701779541E-7</v>
      </c>
      <c r="EB21" s="11">
        <f t="shared" si="83"/>
        <v>3.3434324175246808E-6</v>
      </c>
      <c r="EC21" s="26"/>
      <c r="ED21" s="16">
        <f>SQRT((Animation!$N23-ED$7)^2+(Animation!$O23-EE$7)^2)</f>
        <v>1.1357550714157916</v>
      </c>
      <c r="EE21" s="10">
        <f>SQRT((Animation!$N23-ED$8)^2+(Animation!$O23-EE$8)^2)</f>
        <v>5.4959896005882278</v>
      </c>
      <c r="EF21" s="10">
        <f>SQRT((Animation!$N23-ED$9)^2+(Animation!$O23-EE$9)^2)</f>
        <v>5.2355559825990596</v>
      </c>
      <c r="EG21" s="19">
        <f t="shared" si="84"/>
        <v>0.20931639410684069</v>
      </c>
      <c r="EH21" s="10">
        <f t="shared" si="85"/>
        <v>1.1009861441410561E-7</v>
      </c>
      <c r="EI21" s="10">
        <f t="shared" si="86"/>
        <v>4.4532487869294673E-7</v>
      </c>
      <c r="EJ21" s="10">
        <f t="shared" si="87"/>
        <v>0.20931694953033381</v>
      </c>
      <c r="EK21" s="20">
        <f t="shared" si="88"/>
        <v>0.99999734649537764</v>
      </c>
      <c r="EL21" s="11">
        <f t="shared" si="89"/>
        <v>5.2598996240459887E-7</v>
      </c>
      <c r="EM21" s="11">
        <f t="shared" si="90"/>
        <v>2.1275146599077066E-6</v>
      </c>
      <c r="EN21" s="26"/>
      <c r="EO21" s="16">
        <f>SQRT((Animation!$N23-EO$7)^2+(Animation!$O23-EP$7)^2)</f>
        <v>1.208843083930802</v>
      </c>
      <c r="EP21" s="10">
        <f>SQRT((Animation!$N23-EO$8)^2+(Animation!$O23-EP$8)^2)</f>
        <v>5.4958471381148959</v>
      </c>
      <c r="EQ21" s="10">
        <f>SQRT((Animation!$N23-EO$9)^2+(Animation!$O23-EP$9)^2)</f>
        <v>5.3257003692973326</v>
      </c>
      <c r="ER21" s="19">
        <f t="shared" si="91"/>
        <v>0.19212879318726386</v>
      </c>
      <c r="ES21" s="10">
        <f t="shared" si="92"/>
        <v>1.1018485121477977E-7</v>
      </c>
      <c r="ET21" s="10">
        <f t="shared" si="93"/>
        <v>2.7665883153675831E-7</v>
      </c>
      <c r="EU21" s="10">
        <f t="shared" si="94"/>
        <v>0.19212918003094662</v>
      </c>
      <c r="EV21" s="20">
        <f t="shared" si="95"/>
        <v>0.9999979865438311</v>
      </c>
      <c r="EW21" s="11">
        <f t="shared" si="96"/>
        <v>5.734935796688045E-7</v>
      </c>
      <c r="EX21" s="11">
        <f t="shared" si="97"/>
        <v>1.4399625891923149E-6</v>
      </c>
      <c r="EY21" s="26"/>
      <c r="EZ21" s="16">
        <f>SQRT((Animation!$N23-EZ$7)^2+(Animation!$O23-FA$7)^2)</f>
        <v>1.2611316299955306</v>
      </c>
      <c r="FA21" s="10">
        <f>SQRT((Animation!$N23-EZ$8)^2+(Animation!$O23-FA$8)^2)</f>
        <v>5.4956926418329699</v>
      </c>
      <c r="FB21" s="10">
        <f>SQRT((Animation!$N23-EZ$9)^2+(Animation!$O23-FA$9)^2)</f>
        <v>5.3954733193874089</v>
      </c>
      <c r="FC21" s="19">
        <f t="shared" si="98"/>
        <v>0.1801140482592555</v>
      </c>
      <c r="FD21" s="10">
        <f t="shared" si="99"/>
        <v>1.1027844625811794E-7</v>
      </c>
      <c r="FE21" s="10">
        <f t="shared" si="100"/>
        <v>1.9033032849679796E-7</v>
      </c>
      <c r="FF21" s="10">
        <f t="shared" si="101"/>
        <v>0.18011434886803027</v>
      </c>
      <c r="FG21" s="20">
        <f t="shared" si="102"/>
        <v>0.99999833101151214</v>
      </c>
      <c r="FH21" s="11">
        <f t="shared" si="103"/>
        <v>6.1226907767864142E-7</v>
      </c>
      <c r="FI21" s="11">
        <f t="shared" si="104"/>
        <v>1.0567194101578934E-6</v>
      </c>
      <c r="FJ21" s="26"/>
      <c r="FK21" s="16">
        <f>SQRT((Animation!$N23-FK$7)^2+(Animation!$O23-FL$7)^2)</f>
        <v>1.2963771505868011</v>
      </c>
      <c r="FL21" s="10">
        <f>SQRT((Animation!$N23-FK$8)^2+(Animation!$O23-FL$8)^2)</f>
        <v>5.4955543175487387</v>
      </c>
      <c r="FM21" s="10">
        <f>SQRT((Animation!$N23-FK$9)^2+(Animation!$O23-FL$9)^2)</f>
        <v>5.4443027495623086</v>
      </c>
      <c r="FN21" s="19">
        <f t="shared" si="105"/>
        <v>0.17217646109442802</v>
      </c>
      <c r="FO21" s="10">
        <f t="shared" si="106"/>
        <v>1.1036230939858092E-7</v>
      </c>
      <c r="FP21" s="10">
        <f t="shared" si="107"/>
        <v>1.4607367084849681E-7</v>
      </c>
      <c r="FQ21" s="10">
        <f t="shared" si="108"/>
        <v>0.17217671753040828</v>
      </c>
      <c r="FR21" s="20">
        <f t="shared" si="109"/>
        <v>0.99999851062336453</v>
      </c>
      <c r="FS21" s="11">
        <f t="shared" si="110"/>
        <v>6.4098277038583764E-7</v>
      </c>
      <c r="FT21" s="11">
        <f t="shared" si="111"/>
        <v>8.4839386499918969E-7</v>
      </c>
      <c r="FU21" s="26"/>
      <c r="FV21" s="16">
        <f>SQRT((Animation!$N23-FV$7)^2+(Animation!$O23-FW$7)^2)</f>
        <v>1.3189637415562798</v>
      </c>
      <c r="FW21" s="10">
        <f>SQRT((Animation!$N23-FV$8)^2+(Animation!$O23-FW$8)^2)</f>
        <v>5.4954466018185935</v>
      </c>
      <c r="FX21" s="10">
        <f>SQRT((Animation!$N23-FV$9)^2+(Animation!$O23-FW$9)^2)</f>
        <v>5.4758639037555392</v>
      </c>
      <c r="FY21" s="19">
        <f t="shared" si="112"/>
        <v>0.1671654549256141</v>
      </c>
      <c r="FZ21" s="10">
        <f t="shared" si="113"/>
        <v>1.1042765791087383E-7</v>
      </c>
      <c r="GA21" s="10">
        <f t="shared" si="114"/>
        <v>1.2295083469232321E-7</v>
      </c>
      <c r="GB21" s="10">
        <f t="shared" si="115"/>
        <v>0.16716568830410669</v>
      </c>
      <c r="GC21" s="20">
        <f t="shared" si="116"/>
        <v>0.99999860390912176</v>
      </c>
      <c r="GD21" s="11">
        <f t="shared" si="117"/>
        <v>6.6058806104985241E-7</v>
      </c>
      <c r="GE21" s="11">
        <f t="shared" si="118"/>
        <v>7.355028172327558E-7</v>
      </c>
      <c r="GF21" s="26"/>
      <c r="GG21" s="16">
        <f>SQRT((Animation!$N23-GG$7)^2+(Animation!$O23-GH$7)^2)</f>
        <v>1.3329096446322133</v>
      </c>
      <c r="GH21" s="10">
        <f>SQRT((Animation!$N23-GG$8)^2+(Animation!$O23-GH$8)^2)</f>
        <v>5.495371890655913</v>
      </c>
      <c r="GI21" s="10">
        <f>SQRT((Animation!$N23-GG$9)^2+(Animation!$O23-GH$9)^2)</f>
        <v>5.49526576472344</v>
      </c>
      <c r="GJ21" s="19">
        <f t="shared" si="119"/>
        <v>0.16410273840953848</v>
      </c>
      <c r="GK21" s="10">
        <f t="shared" si="120"/>
        <v>1.1047300532773663E-7</v>
      </c>
      <c r="GL21" s="10">
        <f t="shared" si="121"/>
        <v>1.1053745151485184E-7</v>
      </c>
      <c r="GM21" s="10">
        <f t="shared" si="122"/>
        <v>0.16410295941999534</v>
      </c>
      <c r="GN21" s="20">
        <f t="shared" si="123"/>
        <v>0.99999865322077286</v>
      </c>
      <c r="GO21" s="11">
        <f t="shared" si="124"/>
        <v>6.7319325451650508E-7</v>
      </c>
      <c r="GP21" s="11">
        <f t="shared" si="125"/>
        <v>6.7358597252319429E-7</v>
      </c>
      <c r="GQ21" s="26"/>
      <c r="GR21" s="16">
        <f>SQRT((Animation!$N23-GR$7)^2+(Animation!$O23-GS$7)^2)</f>
        <v>1.3413056736005859</v>
      </c>
      <c r="GS21" s="10">
        <f>SQRT((Animation!$N23-GR$8)^2+(Animation!$O23-GS$8)^2)</f>
        <v>5.4953239346424301</v>
      </c>
      <c r="GT21" s="10">
        <f>SQRT((Animation!$N23-GR$9)^2+(Animation!$O23-GS$9)^2)</f>
        <v>5.5068632556054364</v>
      </c>
      <c r="GU21" s="19">
        <f t="shared" si="126"/>
        <v>0.16227075881028297</v>
      </c>
      <c r="GV21" s="10">
        <f t="shared" si="127"/>
        <v>1.1050212266538077E-7</v>
      </c>
      <c r="GW21" s="10">
        <f t="shared" si="128"/>
        <v>1.0370557200644167E-7</v>
      </c>
      <c r="GX21" s="10">
        <f t="shared" si="129"/>
        <v>0.16227097301797766</v>
      </c>
      <c r="GY21" s="20">
        <f t="shared" si="130"/>
        <v>0.99999867993831115</v>
      </c>
      <c r="GZ21" s="11">
        <f t="shared" si="131"/>
        <v>6.8097282348296803E-7</v>
      </c>
      <c r="HA21" s="11">
        <f t="shared" si="132"/>
        <v>6.3908886523378618E-7</v>
      </c>
      <c r="HB21" s="26"/>
      <c r="HC21" s="16">
        <f>SQRT((Animation!$N23-HC$7)^2+(Animation!$O23-HD$7)^2)</f>
        <v>1.3462795060905888</v>
      </c>
      <c r="HD21" s="10">
        <f>SQRT((Animation!$N23-HC$8)^2+(Animation!$O23-HD$8)^2)</f>
        <v>5.4952945299481435</v>
      </c>
      <c r="HE21" s="10">
        <f>SQRT((Animation!$N23-HC$9)^2+(Animation!$O23-HD$9)^2)</f>
        <v>5.5136925758593271</v>
      </c>
      <c r="HF21" s="19">
        <f t="shared" si="133"/>
        <v>0.16118979014830451</v>
      </c>
      <c r="HG21" s="10">
        <f t="shared" si="134"/>
        <v>1.1051997991271878E-7</v>
      </c>
      <c r="HH21" s="10">
        <f t="shared" si="135"/>
        <v>9.9875498288820863E-8</v>
      </c>
      <c r="HI21" s="10">
        <f t="shared" si="136"/>
        <v>0.16119000054378271</v>
      </c>
      <c r="HJ21" s="20">
        <f t="shared" si="137"/>
        <v>0.99999869473616543</v>
      </c>
      <c r="HK21" s="11">
        <f t="shared" si="138"/>
        <v>6.8565034766346528E-7</v>
      </c>
      <c r="HL21" s="11">
        <f t="shared" si="139"/>
        <v>6.1961348689053759E-7</v>
      </c>
      <c r="HM21" s="26"/>
      <c r="HN21" s="16">
        <f>SQRT((Animation!$N23-HN$7)^2+(Animation!$O23-HO$7)^2)</f>
        <v>1.3491970503844202</v>
      </c>
      <c r="HO21" s="10">
        <f>SQRT((Animation!$N23-HN$8)^2+(Animation!$O23-HO$8)^2)</f>
        <v>5.4952769573277065</v>
      </c>
      <c r="HP21" s="10">
        <f>SQRT((Animation!$N23-HN$9)^2+(Animation!$O23-HO$9)^2)</f>
        <v>5.5176819607830954</v>
      </c>
      <c r="HQ21" s="19">
        <f t="shared" si="140"/>
        <v>0.16055722248155141</v>
      </c>
      <c r="HR21" s="10">
        <f t="shared" si="141"/>
        <v>1.1053065296347959E-7</v>
      </c>
      <c r="HS21" s="10">
        <f t="shared" si="142"/>
        <v>9.7701820609313964E-8</v>
      </c>
      <c r="HT21" s="10">
        <f t="shared" si="143"/>
        <v>0.16055743071402498</v>
      </c>
      <c r="HU21" s="20">
        <f t="shared" si="144"/>
        <v>0.99999870306548477</v>
      </c>
      <c r="HV21" s="11">
        <f t="shared" si="145"/>
        <v>6.8841817206423782E-7</v>
      </c>
      <c r="HW21" s="11">
        <f t="shared" si="146"/>
        <v>6.0851634318522723E-7</v>
      </c>
    </row>
    <row r="22" spans="2:231" x14ac:dyDescent="0.25">
      <c r="B22" s="16">
        <f>SQRT((Animation!$N24-B$7)^2+(Animation!$O24-C$7)^2)</f>
        <v>2.5</v>
      </c>
      <c r="C22" s="10">
        <f>SQRT((Animation!$N24-B$8)^2+(Animation!$O24-C$8)^2)</f>
        <v>1.5</v>
      </c>
      <c r="D22" s="10">
        <f>SQRT((Animation!$N24-B$9)^2+(Animation!$O24-C$9)^2)</f>
        <v>3.3541019662496847</v>
      </c>
      <c r="E22" s="19">
        <f t="shared" si="0"/>
        <v>1.752830049356854E-2</v>
      </c>
      <c r="F22" s="10">
        <f t="shared" si="1"/>
        <v>0.12951759566589174</v>
      </c>
      <c r="G22" s="10">
        <f t="shared" si="2"/>
        <v>1.4388105218938569E-3</v>
      </c>
      <c r="H22" s="10">
        <f t="shared" si="3"/>
        <v>0.14848470668135413</v>
      </c>
      <c r="I22" s="20">
        <f t="shared" si="4"/>
        <v>0.11804785075397697</v>
      </c>
      <c r="J22" s="11">
        <f t="shared" si="5"/>
        <v>0.87226219157932872</v>
      </c>
      <c r="K22" s="11">
        <f t="shared" si="6"/>
        <v>9.6899576666944019E-3</v>
      </c>
      <c r="L22" s="1"/>
      <c r="M22" s="16">
        <f>SQRT((Animation!$N24-M$7)^2+(Animation!$O24-N$7)^2)</f>
        <v>2.6758958108350899</v>
      </c>
      <c r="N22" s="10">
        <f>SQRT((Animation!$N24-M$8)^2+(Animation!$O24-N$8)^2)</f>
        <v>1.2473898199443336</v>
      </c>
      <c r="O22" s="10">
        <f>SQRT((Animation!$N24-M$9)^2+(Animation!$O24-N$9)^2)</f>
        <v>0.60368184709443973</v>
      </c>
      <c r="P22" s="19">
        <f t="shared" si="7"/>
        <v>1.1118468455945451E-2</v>
      </c>
      <c r="Q22" s="10">
        <f t="shared" si="8"/>
        <v>0.18324536815096812</v>
      </c>
      <c r="R22" s="10">
        <f t="shared" si="9"/>
        <v>0.33248703256197493</v>
      </c>
      <c r="S22" s="10">
        <f t="shared" si="10"/>
        <v>0.52685086916888846</v>
      </c>
      <c r="T22" s="20">
        <f t="shared" si="11"/>
        <v>2.1103635025761514E-2</v>
      </c>
      <c r="U22" s="11">
        <f t="shared" si="12"/>
        <v>0.347812595317607</v>
      </c>
      <c r="V22" s="11">
        <f t="shared" si="13"/>
        <v>0.6310837696566316</v>
      </c>
      <c r="W22" s="1"/>
      <c r="X22" s="16">
        <f>SQRT((Animation!$N24-X$7)^2+(Animation!$O24-Y$7)^2)</f>
        <v>3.0764458769229051</v>
      </c>
      <c r="Y22" s="10">
        <f>SQRT((Animation!$N24-X$8)^2+(Animation!$O24-Y$8)^2)</f>
        <v>2.4413675626235736</v>
      </c>
      <c r="Z22" s="10">
        <f>SQRT((Animation!$N24-X$9)^2+(Animation!$O24-Y$9)^2)</f>
        <v>0.76933835754844559</v>
      </c>
      <c r="AA22" s="19">
        <f t="shared" si="14"/>
        <v>3.5133047859098603E-3</v>
      </c>
      <c r="AB22" s="10">
        <f t="shared" si="15"/>
        <v>2.0260617109581922E-2</v>
      </c>
      <c r="AC22" s="10">
        <f t="shared" si="16"/>
        <v>0.29674583309246827</v>
      </c>
      <c r="AD22" s="10">
        <f t="shared" si="17"/>
        <v>0.32051975498796004</v>
      </c>
      <c r="AE22" s="20">
        <f t="shared" si="18"/>
        <v>1.0961273778715554E-2</v>
      </c>
      <c r="AF22" s="11">
        <f t="shared" si="19"/>
        <v>6.3211757759963932E-2</v>
      </c>
      <c r="AG22" s="11">
        <f t="shared" si="20"/>
        <v>0.92582696846132051</v>
      </c>
      <c r="AH22" s="26"/>
      <c r="AI22" s="16">
        <f>SQRT((Animation!$N24-AI$7)^2+(Animation!$O24-AJ$7)^2)</f>
        <v>3.2464424721337708</v>
      </c>
      <c r="AJ22" s="10">
        <f>SQRT((Animation!$N24-AI$8)^2+(Animation!$O24-AJ$8)^2)</f>
        <v>2.8825111545849311</v>
      </c>
      <c r="AK22" s="10">
        <f>SQRT((Animation!$N24-AI$9)^2+(Animation!$O24-AJ$9)^2)</f>
        <v>0.70082948438657544</v>
      </c>
      <c r="AL22" s="19">
        <f t="shared" si="21"/>
        <v>2.0526309967744245E-3</v>
      </c>
      <c r="AM22" s="10">
        <f t="shared" si="22"/>
        <v>6.2612601553456116E-3</v>
      </c>
      <c r="AN22" s="10">
        <f t="shared" si="23"/>
        <v>0.31207257179992565</v>
      </c>
      <c r="AO22" s="10">
        <f t="shared" si="24"/>
        <v>0.3203864629520457</v>
      </c>
      <c r="AP22" s="20">
        <f t="shared" si="25"/>
        <v>6.4067344726785628E-3</v>
      </c>
      <c r="AQ22" s="11">
        <f t="shared" si="26"/>
        <v>1.9542836166217093E-2</v>
      </c>
      <c r="AR22" s="11">
        <f t="shared" si="27"/>
        <v>0.97405042936110431</v>
      </c>
      <c r="AS22" s="26"/>
      <c r="AT22" s="16">
        <f>SQRT((Animation!$N24-AT$7)^2+(Animation!$O24-AU$7)^2)</f>
        <v>3.260139739905362</v>
      </c>
      <c r="AU22" s="10">
        <f>SQRT((Animation!$N24-AT$8)^2+(Animation!$O24-AU$8)^2)</f>
        <v>3.0686048619930237</v>
      </c>
      <c r="AV22" s="10">
        <f>SQRT((Animation!$N24-AT$9)^2+(Animation!$O24-AU$9)^2)</f>
        <v>0.50177448218486176</v>
      </c>
      <c r="AW22" s="19">
        <f t="shared" si="28"/>
        <v>1.9631713157919808E-3</v>
      </c>
      <c r="AX22" s="10">
        <f t="shared" si="29"/>
        <v>3.5989741490407342E-3</v>
      </c>
      <c r="AY22" s="10">
        <f t="shared" si="30"/>
        <v>0.35175254467318223</v>
      </c>
      <c r="AZ22" s="10">
        <f t="shared" si="31"/>
        <v>0.35731469013801492</v>
      </c>
      <c r="BA22" s="20">
        <f t="shared" si="32"/>
        <v>5.4942362292289019E-3</v>
      </c>
      <c r="BB22" s="11">
        <f t="shared" si="33"/>
        <v>1.0072281516471122E-2</v>
      </c>
      <c r="BC22" s="11">
        <f t="shared" si="34"/>
        <v>0.98443348225430005</v>
      </c>
      <c r="BD22" s="26"/>
      <c r="BE22" s="16">
        <f>SQRT((Animation!$N24-BE$7)^2+(Animation!$O24-BF$7)^2)</f>
        <v>3.3074179864832876</v>
      </c>
      <c r="BF22" s="10">
        <f>SQRT((Animation!$N24-BE$8)^2+(Animation!$O24-BF$8)^2)</f>
        <v>3.236317366536928</v>
      </c>
      <c r="BG22" s="10">
        <f>SQRT((Animation!$N24-BE$9)^2+(Animation!$O24-BF$9)^2)</f>
        <v>0.31238045057342034</v>
      </c>
      <c r="BH22" s="19">
        <f t="shared" si="35"/>
        <v>1.6808672443917015E-3</v>
      </c>
      <c r="BI22" s="10">
        <f t="shared" si="36"/>
        <v>2.1211145831644823E-3</v>
      </c>
      <c r="BJ22" s="10">
        <f t="shared" si="37"/>
        <v>0.3799447976505792</v>
      </c>
      <c r="BK22" s="10">
        <f t="shared" si="38"/>
        <v>0.3837467794781354</v>
      </c>
      <c r="BL22" s="20">
        <f t="shared" si="39"/>
        <v>4.3801468423462601E-3</v>
      </c>
      <c r="BM22" s="11">
        <f t="shared" si="40"/>
        <v>5.5273808057725634E-3</v>
      </c>
      <c r="BN22" s="11">
        <f t="shared" si="41"/>
        <v>0.99009247235188114</v>
      </c>
      <c r="BO22" s="26"/>
      <c r="BP22" s="16">
        <f>SQRT((Animation!$N24-BP$7)^2+(Animation!$O24-BQ$7)^2)</f>
        <v>3.3183938088014027</v>
      </c>
      <c r="BQ22" s="10">
        <f>SQRT((Animation!$N24-BP$8)^2+(Animation!$O24-BQ$8)^2)</f>
        <v>3.3399021368913</v>
      </c>
      <c r="BR22" s="10">
        <f>SQRT((Animation!$N24-BP$9)^2+(Animation!$O24-BQ$9)^2)</f>
        <v>0.14687188827989039</v>
      </c>
      <c r="BS22" s="19">
        <f t="shared" si="42"/>
        <v>1.6208456360808565E-3</v>
      </c>
      <c r="BT22" s="10">
        <f t="shared" si="43"/>
        <v>1.5088437118891908E-3</v>
      </c>
      <c r="BU22" s="10">
        <f t="shared" si="44"/>
        <v>0.39466253974501603</v>
      </c>
      <c r="BV22" s="10">
        <f t="shared" si="45"/>
        <v>0.39779222909298606</v>
      </c>
      <c r="BW22" s="20">
        <f t="shared" si="46"/>
        <v>4.0746035682410857E-3</v>
      </c>
      <c r="BX22" s="11">
        <f t="shared" si="47"/>
        <v>3.7930447141452089E-3</v>
      </c>
      <c r="BY22" s="11">
        <f t="shared" si="48"/>
        <v>0.99213235171761371</v>
      </c>
      <c r="BZ22" s="26"/>
      <c r="CA22" s="16">
        <f>SQRT((Animation!$N24-CA$7)^2+(Animation!$O24-CB$7)^2)</f>
        <v>3.2883384998701528</v>
      </c>
      <c r="CB22" s="10">
        <f>SQRT((Animation!$N24-CA$8)^2+(Animation!$O24-CB$8)^2)</f>
        <v>3.3945383928550092</v>
      </c>
      <c r="CC22" s="10">
        <f>SQRT((Animation!$N24-CA$9)^2+(Animation!$O24-CB$9)^2)</f>
        <v>6.2904879012418424E-2</v>
      </c>
      <c r="CD22" s="19">
        <f t="shared" si="49"/>
        <v>1.7900287853300256E-3</v>
      </c>
      <c r="CE22" s="10">
        <f t="shared" si="50"/>
        <v>1.2552958671224902E-3</v>
      </c>
      <c r="CF22" s="10">
        <f t="shared" si="51"/>
        <v>0.39815374866846936</v>
      </c>
      <c r="CG22" s="10">
        <f t="shared" si="52"/>
        <v>0.40119907332092186</v>
      </c>
      <c r="CH22" s="20">
        <f t="shared" si="53"/>
        <v>4.4616972081043902E-3</v>
      </c>
      <c r="CI22" s="11">
        <f t="shared" si="54"/>
        <v>3.1288603354234831E-3</v>
      </c>
      <c r="CJ22" s="11">
        <f t="shared" si="55"/>
        <v>0.99240944245647222</v>
      </c>
      <c r="CK22" s="26"/>
      <c r="CL22" s="16">
        <f>SQRT((Animation!$N24-CL$7)^2+(Animation!$O24-CM$7)^2)</f>
        <v>3.259714556256883</v>
      </c>
      <c r="CM22" s="10">
        <f>SQRT((Animation!$N24-CL$8)^2+(Animation!$O24-CM$8)^2)</f>
        <v>3.4582076445525232</v>
      </c>
      <c r="CN22" s="10">
        <f>SQRT((Animation!$N24-CL$9)^2+(Animation!$O24-CM$9)^2)</f>
        <v>0.23738964912252006</v>
      </c>
      <c r="CO22" s="19">
        <f t="shared" si="56"/>
        <v>1.9658942908568474E-3</v>
      </c>
      <c r="CP22" s="10">
        <f t="shared" si="57"/>
        <v>1.0092592938281916E-3</v>
      </c>
      <c r="CQ22" s="10">
        <f t="shared" si="58"/>
        <v>0.38785820547449168</v>
      </c>
      <c r="CR22" s="10">
        <f t="shared" si="59"/>
        <v>0.39083335905917671</v>
      </c>
      <c r="CS22" s="20">
        <f t="shared" si="60"/>
        <v>5.0300063832554994E-3</v>
      </c>
      <c r="CT22" s="11">
        <f t="shared" si="61"/>
        <v>2.5823263813961645E-3</v>
      </c>
      <c r="CU22" s="11">
        <f t="shared" si="62"/>
        <v>0.99238766723534833</v>
      </c>
      <c r="CV22" s="26"/>
      <c r="CW22" s="16">
        <f>SQRT((Animation!$N24-CW$7)^2+(Animation!$O24-CX$7)^2)</f>
        <v>3.2246340013086514</v>
      </c>
      <c r="CX22" s="10">
        <f>SQRT((Animation!$N24-CW$8)^2+(Animation!$O24-CX$8)^2)</f>
        <v>3.6107930051183481</v>
      </c>
      <c r="CY22" s="10">
        <f>SQRT((Animation!$N24-CW$9)^2+(Animation!$O24-CX$9)^2)</f>
        <v>0.58540433722732887</v>
      </c>
      <c r="CZ22" s="19">
        <f t="shared" si="63"/>
        <v>2.2027014184766293E-3</v>
      </c>
      <c r="DA22" s="10">
        <f t="shared" si="64"/>
        <v>5.8854827966810762E-4</v>
      </c>
      <c r="DB22" s="10">
        <f t="shared" si="65"/>
        <v>0.33611979419216115</v>
      </c>
      <c r="DC22" s="10">
        <f t="shared" si="66"/>
        <v>0.33891104389030591</v>
      </c>
      <c r="DD22" s="20">
        <f t="shared" si="67"/>
        <v>6.4993497797893231E-3</v>
      </c>
      <c r="DE22" s="11">
        <f t="shared" si="68"/>
        <v>1.7365863115944987E-3</v>
      </c>
      <c r="DF22" s="11">
        <f t="shared" si="69"/>
        <v>0.99176406390861616</v>
      </c>
      <c r="DG22" s="26"/>
      <c r="DH22" s="16">
        <f>SQRT((Animation!$N24-DH$7)^2+(Animation!$O24-DI$7)^2)</f>
        <v>3.1564586516711888</v>
      </c>
      <c r="DI22" s="10">
        <f>SQRT((Animation!$N24-DH$8)^2+(Animation!$O24-DI$8)^2)</f>
        <v>3.9024387648500505</v>
      </c>
      <c r="DJ22" s="10">
        <f>SQRT((Animation!$N24-DH$9)^2+(Animation!$O24-DI$9)^2)</f>
        <v>0.99363606345865196</v>
      </c>
      <c r="DK22" s="19">
        <f t="shared" si="70"/>
        <v>2.7379271949640157E-3</v>
      </c>
      <c r="DL22" s="10">
        <f t="shared" si="71"/>
        <v>1.9677439472671641E-4</v>
      </c>
      <c r="DM22" s="10">
        <f t="shared" si="72"/>
        <v>0.24351059003359443</v>
      </c>
      <c r="DN22" s="10">
        <f t="shared" si="73"/>
        <v>0.24644529162328516</v>
      </c>
      <c r="DO22" s="20">
        <f t="shared" si="74"/>
        <v>1.1109675404751475E-2</v>
      </c>
      <c r="DP22" s="11">
        <f t="shared" si="75"/>
        <v>7.9845061526882246E-4</v>
      </c>
      <c r="DQ22" s="11">
        <f t="shared" si="76"/>
        <v>0.98809187397997977</v>
      </c>
      <c r="DR22" s="26"/>
      <c r="DS22" s="16">
        <f>SQRT((Animation!$N24-DS$7)^2+(Animation!$O24-DT$7)^2)</f>
        <v>3.027601232387469</v>
      </c>
      <c r="DT22" s="10">
        <f>SQRT((Animation!$N24-DS$8)^2+(Animation!$O24-DT$8)^2)</f>
        <v>3.9714139714644174</v>
      </c>
      <c r="DU22" s="10">
        <f>SQRT((Animation!$N24-DS$9)^2+(Animation!$O24-DT$9)^2)</f>
        <v>1.1645761493772369</v>
      </c>
      <c r="DV22" s="19">
        <f t="shared" si="77"/>
        <v>4.0781038371854863E-3</v>
      </c>
      <c r="DW22" s="10">
        <f t="shared" si="78"/>
        <v>1.4998084086747241E-4</v>
      </c>
      <c r="DX22" s="10">
        <f t="shared" si="79"/>
        <v>0.20249150639292895</v>
      </c>
      <c r="DY22" s="10">
        <f t="shared" si="80"/>
        <v>0.20671959107098192</v>
      </c>
      <c r="DZ22" s="20">
        <f t="shared" si="81"/>
        <v>1.9727708515953749E-2</v>
      </c>
      <c r="EA22" s="11">
        <f t="shared" si="82"/>
        <v>7.2552794870793373E-4</v>
      </c>
      <c r="EB22" s="11">
        <f t="shared" si="83"/>
        <v>0.97954676353533832</v>
      </c>
      <c r="EC22" s="26"/>
      <c r="ED22" s="16">
        <f>SQRT((Animation!$N24-ED$7)^2+(Animation!$O24-EE$7)^2)</f>
        <v>2.9181044960272406</v>
      </c>
      <c r="EE22" s="10">
        <f>SQRT((Animation!$N24-ED$8)^2+(Animation!$O24-EE$8)^2)</f>
        <v>3.9739384568188001</v>
      </c>
      <c r="EF22" s="10">
        <f>SQRT((Animation!$N24-ED$9)^2+(Animation!$O24-EE$9)^2)</f>
        <v>1.2804841377386089</v>
      </c>
      <c r="EG22" s="19">
        <f t="shared" si="84"/>
        <v>5.6471433803901138E-3</v>
      </c>
      <c r="EH22" s="10">
        <f t="shared" si="85"/>
        <v>1.4848420596789877E-4</v>
      </c>
      <c r="EI22" s="10">
        <f t="shared" si="86"/>
        <v>0.17573847145697541</v>
      </c>
      <c r="EJ22" s="10">
        <f t="shared" si="87"/>
        <v>0.18153409904333342</v>
      </c>
      <c r="EK22" s="20">
        <f t="shared" si="88"/>
        <v>3.1107893283686072E-2</v>
      </c>
      <c r="EL22" s="11">
        <f t="shared" si="89"/>
        <v>8.1794112924456458E-4</v>
      </c>
      <c r="EM22" s="11">
        <f t="shared" si="90"/>
        <v>0.96807416558706938</v>
      </c>
      <c r="EN22" s="26"/>
      <c r="EO22" s="16">
        <f>SQRT((Animation!$N24-EO$7)^2+(Animation!$O24-EP$7)^2)</f>
        <v>2.8381006144300764</v>
      </c>
      <c r="EP22" s="10">
        <f>SQRT((Animation!$N24-EO$8)^2+(Animation!$O24-EP$8)^2)</f>
        <v>3.9741879738261332</v>
      </c>
      <c r="EQ22" s="10">
        <f>SQRT((Animation!$N24-EO$9)^2+(Animation!$O24-EP$9)^2)</f>
        <v>1.3774130916876925</v>
      </c>
      <c r="ER22" s="19">
        <f t="shared" si="91"/>
        <v>7.1093384676604041E-3</v>
      </c>
      <c r="ES22" s="10">
        <f t="shared" si="92"/>
        <v>1.4833704254509376E-4</v>
      </c>
      <c r="ET22" s="10">
        <f t="shared" si="93"/>
        <v>0.15449833710433511</v>
      </c>
      <c r="EU22" s="10">
        <f t="shared" si="94"/>
        <v>0.16175601261454062</v>
      </c>
      <c r="EV22" s="20">
        <f t="shared" si="95"/>
        <v>4.3950999735643391E-2</v>
      </c>
      <c r="EW22" s="11">
        <f t="shared" si="96"/>
        <v>9.1704190865891445E-4</v>
      </c>
      <c r="EX22" s="11">
        <f t="shared" si="97"/>
        <v>0.95513195835569764</v>
      </c>
      <c r="EY22" s="26"/>
      <c r="EZ22" s="16">
        <f>SQRT((Animation!$N24-EZ$7)^2+(Animation!$O24-FA$7)^2)</f>
        <v>2.7820379929356691</v>
      </c>
      <c r="FA22" s="10">
        <f>SQRT((Animation!$N24-EZ$8)^2+(Animation!$O24-FA$8)^2)</f>
        <v>3.9742458610570601</v>
      </c>
      <c r="FB22" s="10">
        <f>SQRT((Animation!$N24-EZ$9)^2+(Animation!$O24-FA$9)^2)</f>
        <v>1.4522739629321544</v>
      </c>
      <c r="FC22" s="19">
        <f t="shared" si="98"/>
        <v>8.322386467240598E-3</v>
      </c>
      <c r="FD22" s="10">
        <f t="shared" si="99"/>
        <v>1.4830292058239051E-4</v>
      </c>
      <c r="FE22" s="10">
        <f t="shared" si="100"/>
        <v>0.13897122732920858</v>
      </c>
      <c r="FF22" s="10">
        <f t="shared" si="101"/>
        <v>0.14744191671703158</v>
      </c>
      <c r="FG22" s="20">
        <f t="shared" si="102"/>
        <v>5.6445186365915216E-2</v>
      </c>
      <c r="FH22" s="11">
        <f t="shared" si="103"/>
        <v>1.0058396138935943E-3</v>
      </c>
      <c r="FI22" s="11">
        <f t="shared" si="104"/>
        <v>0.94254897402019111</v>
      </c>
      <c r="FJ22" s="26"/>
      <c r="FK22" s="16">
        <f>SQRT((Animation!$N24-FK$7)^2+(Animation!$O24-FL$7)^2)</f>
        <v>2.7447551572786755</v>
      </c>
      <c r="FL22" s="10">
        <f>SQRT((Animation!$N24-FK$8)^2+(Animation!$O24-FL$8)^2)</f>
        <v>3.9742194480125912</v>
      </c>
      <c r="FM22" s="10">
        <f>SQRT((Animation!$N24-FK$9)^2+(Animation!$O24-FL$9)^2)</f>
        <v>1.5045557799891656</v>
      </c>
      <c r="FN22" s="19">
        <f t="shared" si="105"/>
        <v>9.2255453902517735E-3</v>
      </c>
      <c r="FO22" s="10">
        <f t="shared" si="106"/>
        <v>1.4831848899195729E-4</v>
      </c>
      <c r="FP22" s="10">
        <f t="shared" si="107"/>
        <v>0.12863419754032551</v>
      </c>
      <c r="FQ22" s="10">
        <f t="shared" si="108"/>
        <v>0.13800806141956926</v>
      </c>
      <c r="FR22" s="20">
        <f t="shared" si="109"/>
        <v>6.6847873199265231E-2</v>
      </c>
      <c r="FS22" s="11">
        <f t="shared" si="110"/>
        <v>1.0747088790780308E-3</v>
      </c>
      <c r="FT22" s="11">
        <f t="shared" si="111"/>
        <v>0.93207741792165666</v>
      </c>
      <c r="FU22" s="26"/>
      <c r="FV22" s="16">
        <f>SQRT((Animation!$N24-FV$7)^2+(Animation!$O24-FW$7)^2)</f>
        <v>2.7210707720347891</v>
      </c>
      <c r="FW22" s="10">
        <f>SQRT((Animation!$N24-FV$8)^2+(Animation!$O24-FW$8)^2)</f>
        <v>3.9741640260505133</v>
      </c>
      <c r="FX22" s="10">
        <f>SQRT((Animation!$N24-FV$9)^2+(Animation!$O24-FW$9)^2)</f>
        <v>1.5382863600426122</v>
      </c>
      <c r="FY22" s="19">
        <f t="shared" si="112"/>
        <v>9.8424402437133855E-3</v>
      </c>
      <c r="FZ22" s="10">
        <f t="shared" si="113"/>
        <v>1.483511608500801E-4</v>
      </c>
      <c r="GA22" s="10">
        <f t="shared" si="114"/>
        <v>0.12219941787643937</v>
      </c>
      <c r="GB22" s="10">
        <f t="shared" si="115"/>
        <v>0.13219020928100284</v>
      </c>
      <c r="GC22" s="20">
        <f t="shared" si="116"/>
        <v>7.445665074022885E-2</v>
      </c>
      <c r="GD22" s="11">
        <f t="shared" si="117"/>
        <v>1.1222552839350089E-3</v>
      </c>
      <c r="GE22" s="11">
        <f t="shared" si="118"/>
        <v>0.92442109397583616</v>
      </c>
      <c r="GF22" s="26"/>
      <c r="GG22" s="16">
        <f>SQRT((Animation!$N24-GG$7)^2+(Animation!$O24-GH$7)^2)</f>
        <v>2.7065268928576827</v>
      </c>
      <c r="GH22" s="10">
        <f>SQRT((Animation!$N24-GG$8)^2+(Animation!$O24-GH$8)^2)</f>
        <v>3.9741116301133292</v>
      </c>
      <c r="GI22" s="10">
        <f>SQRT((Animation!$N24-GG$9)^2+(Animation!$O24-GH$9)^2)</f>
        <v>1.5589914424913873</v>
      </c>
      <c r="GJ22" s="19">
        <f t="shared" si="119"/>
        <v>1.0238681329434285E-2</v>
      </c>
      <c r="GK22" s="10">
        <f t="shared" si="120"/>
        <v>1.4838205503230276E-4</v>
      </c>
      <c r="GL22" s="10">
        <f t="shared" si="121"/>
        <v>0.11834328393893519</v>
      </c>
      <c r="GM22" s="10">
        <f t="shared" si="122"/>
        <v>0.12873034732340177</v>
      </c>
      <c r="GN22" s="20">
        <f t="shared" si="123"/>
        <v>7.953587900848462E-2</v>
      </c>
      <c r="GO22" s="11">
        <f t="shared" si="124"/>
        <v>1.1526579250153901E-3</v>
      </c>
      <c r="GP22" s="11">
        <f t="shared" si="125"/>
        <v>0.91931146306650002</v>
      </c>
      <c r="GQ22" s="26"/>
      <c r="GR22" s="16">
        <f>SQRT((Animation!$N24-GR$7)^2+(Animation!$O24-GS$7)^2)</f>
        <v>2.6977998841321846</v>
      </c>
      <c r="GS22" s="10">
        <f>SQRT((Animation!$N24-GR$8)^2+(Animation!$O24-GS$8)^2)</f>
        <v>3.9740728000039862</v>
      </c>
      <c r="GT22" s="10">
        <f>SQRT((Animation!$N24-GR$9)^2+(Animation!$O24-GS$9)^2)</f>
        <v>1.571354875000929</v>
      </c>
      <c r="GU22" s="19">
        <f t="shared" si="126"/>
        <v>1.0482997283804881E-2</v>
      </c>
      <c r="GV22" s="10">
        <f t="shared" si="127"/>
        <v>1.4840495429212412E-4</v>
      </c>
      <c r="GW22" s="10">
        <f t="shared" si="128"/>
        <v>0.11607524843290543</v>
      </c>
      <c r="GX22" s="10">
        <f t="shared" si="129"/>
        <v>0.12670665067100242</v>
      </c>
      <c r="GY22" s="20">
        <f t="shared" si="130"/>
        <v>8.273438867091748E-2</v>
      </c>
      <c r="GZ22" s="11">
        <f t="shared" si="131"/>
        <v>1.1712483402111385E-3</v>
      </c>
      <c r="HA22" s="11">
        <f t="shared" si="132"/>
        <v>0.91609436298887148</v>
      </c>
      <c r="HB22" s="26"/>
      <c r="HC22" s="16">
        <f>SQRT((Animation!$N24-HC$7)^2+(Animation!$O24-HD$7)^2)</f>
        <v>2.6926401483366584</v>
      </c>
      <c r="HD22" s="10">
        <f>SQRT((Animation!$N24-HC$8)^2+(Animation!$O24-HD$8)^2)</f>
        <v>3.9740471361716398</v>
      </c>
      <c r="HE22" s="10">
        <f>SQRT((Animation!$N24-HC$9)^2+(Animation!$O24-HD$9)^2)</f>
        <v>1.5786301333684631</v>
      </c>
      <c r="HF22" s="19">
        <f t="shared" si="133"/>
        <v>1.0629798767568534E-2</v>
      </c>
      <c r="HG22" s="10">
        <f t="shared" si="134"/>
        <v>1.4842009082722117E-4</v>
      </c>
      <c r="HH22" s="10">
        <f t="shared" si="135"/>
        <v>0.11475279394949592</v>
      </c>
      <c r="HI22" s="10">
        <f t="shared" si="136"/>
        <v>0.12553101280789167</v>
      </c>
      <c r="HJ22" s="20">
        <f t="shared" si="137"/>
        <v>8.4678666488862089E-2</v>
      </c>
      <c r="HK22" s="11">
        <f t="shared" si="138"/>
        <v>1.182338033505379E-3</v>
      </c>
      <c r="HL22" s="11">
        <f t="shared" si="139"/>
        <v>0.91413899547763255</v>
      </c>
      <c r="HM22" s="26"/>
      <c r="HN22" s="16">
        <f>SQRT((Animation!$N24-HN$7)^2+(Animation!$O24-HO$7)^2)</f>
        <v>2.6896170452111487</v>
      </c>
      <c r="HO22" s="10">
        <f>SQRT((Animation!$N24-HN$8)^2+(Animation!$O24-HO$8)^2)</f>
        <v>3.9740311542993436</v>
      </c>
      <c r="HP22" s="10">
        <f>SQRT((Animation!$N24-HN$9)^2+(Animation!$O24-HO$9)^2)</f>
        <v>1.5828781481313667</v>
      </c>
      <c r="HQ22" s="19">
        <f t="shared" si="140"/>
        <v>1.0716630860379541E-2</v>
      </c>
      <c r="HR22" s="10">
        <f t="shared" si="141"/>
        <v>1.4842951767038011E-4</v>
      </c>
      <c r="HS22" s="10">
        <f t="shared" si="142"/>
        <v>0.11398480270031008</v>
      </c>
      <c r="HT22" s="10">
        <f t="shared" si="143"/>
        <v>0.12484986307836</v>
      </c>
      <c r="HU22" s="20">
        <f t="shared" si="144"/>
        <v>8.5836144278776033E-2</v>
      </c>
      <c r="HV22" s="11">
        <f t="shared" si="145"/>
        <v>1.1888640805094092E-3</v>
      </c>
      <c r="HW22" s="11">
        <f t="shared" si="146"/>
        <v>0.91297499164071461</v>
      </c>
    </row>
    <row r="23" spans="2:231" x14ac:dyDescent="0.25">
      <c r="B23" s="16">
        <f>SQRT((Animation!$N25-B$7)^2+(Animation!$O25-C$7)^2)</f>
        <v>5.8309518948453007</v>
      </c>
      <c r="C23" s="10">
        <f>SQRT((Animation!$N25-B$8)^2+(Animation!$O25-C$8)^2)</f>
        <v>5</v>
      </c>
      <c r="D23" s="10">
        <f>SQRT((Animation!$N25-B$9)^2+(Animation!$O25-C$9)^2)</f>
        <v>6.0827625302982193</v>
      </c>
      <c r="E23" s="19">
        <f t="shared" si="0"/>
        <v>1.6515961942520597E-8</v>
      </c>
      <c r="F23" s="10">
        <f t="shared" si="1"/>
        <v>1.4867195147342977E-6</v>
      </c>
      <c r="G23" s="10">
        <f t="shared" si="2"/>
        <v>3.6852092332400057E-9</v>
      </c>
      <c r="H23" s="10">
        <f t="shared" si="3"/>
        <v>1.5069206859100582E-6</v>
      </c>
      <c r="I23" s="20">
        <f t="shared" si="4"/>
        <v>1.0960073809423017E-2</v>
      </c>
      <c r="J23" s="11">
        <f t="shared" si="5"/>
        <v>0.98659440316624181</v>
      </c>
      <c r="K23" s="11">
        <f t="shared" si="6"/>
        <v>2.4455230243351773E-3</v>
      </c>
      <c r="L23" s="1"/>
      <c r="M23" s="16">
        <f>SQRT((Animation!$N25-M$7)^2+(Animation!$O25-N$7)^2)</f>
        <v>5.7007949716416295</v>
      </c>
      <c r="N23" s="10">
        <f>SQRT((Animation!$N25-M$8)^2+(Animation!$O25-N$8)^2)</f>
        <v>3.4063088190606363</v>
      </c>
      <c r="O23" s="10">
        <f>SQRT((Animation!$N25-M$9)^2+(Animation!$O25-N$9)^2)</f>
        <v>4.4876116670034332</v>
      </c>
      <c r="P23" s="19">
        <f t="shared" si="7"/>
        <v>3.498067091597926E-8</v>
      </c>
      <c r="Q23" s="10">
        <f t="shared" si="8"/>
        <v>1.2060455419130819E-3</v>
      </c>
      <c r="R23" s="10">
        <f t="shared" si="9"/>
        <v>1.6898802946409218E-5</v>
      </c>
      <c r="S23" s="10">
        <f t="shared" si="10"/>
        <v>1.222979325530407E-3</v>
      </c>
      <c r="T23" s="20">
        <f t="shared" si="11"/>
        <v>2.8602830960211137E-5</v>
      </c>
      <c r="U23" s="11">
        <f t="shared" si="12"/>
        <v>0.98615366321913833</v>
      </c>
      <c r="V23" s="11">
        <f t="shared" si="13"/>
        <v>1.3817733949901561E-2</v>
      </c>
      <c r="W23" s="1"/>
      <c r="X23" s="16">
        <f>SQRT((Animation!$N25-X$7)^2+(Animation!$O25-Y$7)^2)</f>
        <v>6.2819280662835242</v>
      </c>
      <c r="Y23" s="10">
        <f>SQRT((Animation!$N25-X$8)^2+(Animation!$O25-Y$8)^2)</f>
        <v>2.5736193243686762</v>
      </c>
      <c r="Z23" s="10">
        <f>SQRT((Animation!$N25-X$9)^2+(Animation!$O25-Y$9)^2)</f>
        <v>4.6617301552462518</v>
      </c>
      <c r="AA23" s="19">
        <f t="shared" si="14"/>
        <v>1.0757490275491595E-9</v>
      </c>
      <c r="AB23" s="10">
        <f t="shared" si="15"/>
        <v>1.4542254751425473E-2</v>
      </c>
      <c r="AC23" s="10">
        <f t="shared" si="16"/>
        <v>7.6194790757060537E-6</v>
      </c>
      <c r="AD23" s="10">
        <f t="shared" si="17"/>
        <v>1.4549875306250208E-2</v>
      </c>
      <c r="AE23" s="20">
        <f t="shared" si="18"/>
        <v>7.3935274695244201E-8</v>
      </c>
      <c r="AF23" s="11">
        <f t="shared" si="19"/>
        <v>0.99947624603892926</v>
      </c>
      <c r="AG23" s="11">
        <f t="shared" si="20"/>
        <v>5.2368002579602482E-4</v>
      </c>
      <c r="AH23" s="26"/>
      <c r="AI23" s="16">
        <f>SQRT((Animation!$N25-AI$7)^2+(Animation!$O25-AJ$7)^2)</f>
        <v>6.5777663927030838</v>
      </c>
      <c r="AJ23" s="10">
        <f>SQRT((Animation!$N25-AI$8)^2+(Animation!$O25-AJ$8)^2)</f>
        <v>2.6579822591924391</v>
      </c>
      <c r="AK23" s="10">
        <f>SQRT((Animation!$N25-AI$9)^2+(Animation!$O25-AJ$9)^2)</f>
        <v>4.590662146447114</v>
      </c>
      <c r="AL23" s="19">
        <f t="shared" si="21"/>
        <v>1.6054547314806134E-10</v>
      </c>
      <c r="AM23" s="10">
        <f t="shared" si="22"/>
        <v>1.1662538888824226E-2</v>
      </c>
      <c r="AN23" s="10">
        <f t="shared" si="23"/>
        <v>1.058547261769194E-5</v>
      </c>
      <c r="AO23" s="10">
        <f t="shared" si="24"/>
        <v>1.1673124521987391E-2</v>
      </c>
      <c r="AP23" s="20">
        <f t="shared" si="25"/>
        <v>1.375342761448825E-8</v>
      </c>
      <c r="AQ23" s="11">
        <f t="shared" si="26"/>
        <v>0.99909316197705034</v>
      </c>
      <c r="AR23" s="11">
        <f t="shared" si="27"/>
        <v>9.0682426952211814E-4</v>
      </c>
      <c r="AS23" s="26"/>
      <c r="AT23" s="16">
        <f>SQRT((Animation!$N25-AT$7)^2+(Animation!$O25-AU$7)^2)</f>
        <v>6.7235553033282542</v>
      </c>
      <c r="AU23" s="10">
        <f>SQRT((Animation!$N25-AT$8)^2+(Animation!$O25-AU$8)^2)</f>
        <v>2.9429293159627985</v>
      </c>
      <c r="AV23" s="10">
        <f>SQRT((Animation!$N25-AT$9)^2+(Animation!$O25-AU$9)^2)</f>
        <v>4.3904526892382671</v>
      </c>
      <c r="AW23" s="19">
        <f t="shared" si="28"/>
        <v>6.0884865158636515E-11</v>
      </c>
      <c r="AX23" s="10">
        <f t="shared" si="29"/>
        <v>5.2509040742697724E-3</v>
      </c>
      <c r="AY23" s="10">
        <f t="shared" si="30"/>
        <v>2.6011392536707785E-5</v>
      </c>
      <c r="AZ23" s="10">
        <f t="shared" si="31"/>
        <v>5.2769155276913447E-3</v>
      </c>
      <c r="BA23" s="20">
        <f t="shared" si="32"/>
        <v>1.1537964714260586E-8</v>
      </c>
      <c r="BB23" s="11">
        <f t="shared" si="33"/>
        <v>0.99507070877199499</v>
      </c>
      <c r="BC23" s="11">
        <f t="shared" si="34"/>
        <v>4.9292796900404032E-3</v>
      </c>
      <c r="BD23" s="26"/>
      <c r="BE23" s="16">
        <f>SQRT((Animation!$N25-BE$7)^2+(Animation!$O25-BF$7)^2)</f>
        <v>6.9614520035890362</v>
      </c>
      <c r="BF23" s="10">
        <f>SQRT((Animation!$N25-BE$8)^2+(Animation!$O25-BF$8)^2)</f>
        <v>3.321039955165872</v>
      </c>
      <c r="BG23" s="10">
        <f>SQRT((Animation!$N25-BE$9)^2+(Animation!$O25-BF$9)^2)</f>
        <v>4.2024695504178213</v>
      </c>
      <c r="BH23" s="19">
        <f t="shared" si="35"/>
        <v>1.1955310626935215E-11</v>
      </c>
      <c r="BI23" s="10">
        <f t="shared" si="36"/>
        <v>1.6066697425991985E-3</v>
      </c>
      <c r="BJ23" s="10">
        <f t="shared" si="37"/>
        <v>5.8334685422902972E-5</v>
      </c>
      <c r="BK23" s="10">
        <f t="shared" si="38"/>
        <v>1.6650044399774122E-3</v>
      </c>
      <c r="BL23" s="20">
        <f t="shared" si="39"/>
        <v>7.1803475954078551E-9</v>
      </c>
      <c r="BM23" s="11">
        <f t="shared" si="40"/>
        <v>0.9649642391470109</v>
      </c>
      <c r="BN23" s="11">
        <f t="shared" si="41"/>
        <v>3.5035753672641466E-2</v>
      </c>
      <c r="BO23" s="26"/>
      <c r="BP23" s="16">
        <f>SQRT((Animation!$N25-BP$7)^2+(Animation!$O25-BQ$7)^2)</f>
        <v>7.0346864048126267</v>
      </c>
      <c r="BQ23" s="10">
        <f>SQRT((Animation!$N25-BP$8)^2+(Animation!$O25-BQ$8)^2)</f>
        <v>3.4905824805845933</v>
      </c>
      <c r="BR23" s="10">
        <f>SQRT((Animation!$N25-BP$9)^2+(Animation!$O25-BQ$9)^2)</f>
        <v>4.0348709796497406</v>
      </c>
      <c r="BS23" s="19">
        <f t="shared" si="42"/>
        <v>7.1611900531079588E-12</v>
      </c>
      <c r="BT23" s="10">
        <f t="shared" si="43"/>
        <v>9.0188678609464496E-4</v>
      </c>
      <c r="BU23" s="10">
        <f t="shared" si="44"/>
        <v>1.1633571586619495E-4</v>
      </c>
      <c r="BV23" s="10">
        <f t="shared" si="45"/>
        <v>1.01822250912203E-3</v>
      </c>
      <c r="BW23" s="20">
        <f t="shared" si="46"/>
        <v>7.0330305890435964E-9</v>
      </c>
      <c r="BX23" s="11">
        <f t="shared" si="47"/>
        <v>0.88574626667043888</v>
      </c>
      <c r="BY23" s="11">
        <f t="shared" si="48"/>
        <v>0.11425372629653051</v>
      </c>
      <c r="BZ23" s="26"/>
      <c r="CA23" s="16">
        <f>SQRT((Animation!$N25-CA$7)^2+(Animation!$O25-CB$7)^2)</f>
        <v>7.0087903354973093</v>
      </c>
      <c r="CB23" s="10">
        <f>SQRT((Animation!$N25-CA$8)^2+(Animation!$O25-CB$8)^2)</f>
        <v>3.5820856252646864</v>
      </c>
      <c r="CC23" s="10">
        <f>SQRT((Animation!$N25-CA$9)^2+(Animation!$O25-CB$9)^2)</f>
        <v>3.8758902761356793</v>
      </c>
      <c r="CD23" s="19">
        <f t="shared" si="49"/>
        <v>8.5892515279059288E-12</v>
      </c>
      <c r="CE23" s="10">
        <f t="shared" si="50"/>
        <v>6.525601451315312E-4</v>
      </c>
      <c r="CF23" s="10">
        <f t="shared" si="51"/>
        <v>2.1817757783765217E-4</v>
      </c>
      <c r="CG23" s="10">
        <f t="shared" si="52"/>
        <v>8.7073773155843482E-4</v>
      </c>
      <c r="CH23" s="20">
        <f t="shared" si="53"/>
        <v>9.8643382692662236E-9</v>
      </c>
      <c r="CI23" s="11">
        <f t="shared" si="54"/>
        <v>0.74943363711089872</v>
      </c>
      <c r="CJ23" s="11">
        <f t="shared" si="55"/>
        <v>0.2505663530247631</v>
      </c>
      <c r="CK23" s="26"/>
      <c r="CL23" s="16">
        <f>SQRT((Animation!$N25-CL$7)^2+(Animation!$O25-CM$7)^2)</f>
        <v>6.982396639206593</v>
      </c>
      <c r="CM23" s="10">
        <f>SQRT((Animation!$N25-CL$8)^2+(Animation!$O25-CM$8)^2)</f>
        <v>3.7197121513857656</v>
      </c>
      <c r="CN23" s="10">
        <f>SQRT((Animation!$N25-CL$9)^2+(Animation!$O25-CM$9)^2)</f>
        <v>3.672056623901129</v>
      </c>
      <c r="CO23" s="19">
        <f t="shared" si="56"/>
        <v>1.033102154278984E-11</v>
      </c>
      <c r="CP23" s="10">
        <f t="shared" si="57"/>
        <v>3.9482505978441496E-4</v>
      </c>
      <c r="CQ23" s="10">
        <f t="shared" si="58"/>
        <v>4.708653161687644E-4</v>
      </c>
      <c r="CR23" s="10">
        <f t="shared" si="59"/>
        <v>8.6569038628420093E-4</v>
      </c>
      <c r="CS23" s="20">
        <f t="shared" si="60"/>
        <v>1.1933852687372028E-8</v>
      </c>
      <c r="CT23" s="11">
        <f t="shared" si="61"/>
        <v>0.45608114175683623</v>
      </c>
      <c r="CU23" s="11">
        <f t="shared" si="62"/>
        <v>0.54391884630931109</v>
      </c>
      <c r="CV23" s="26"/>
      <c r="CW23" s="16">
        <f>SQRT((Animation!$N25-CW$7)^2+(Animation!$O25-CX$7)^2)</f>
        <v>6.9502718433284238</v>
      </c>
      <c r="CX23" s="10">
        <f>SQRT((Animation!$N25-CW$8)^2+(Animation!$O25-CX$8)^2)</f>
        <v>4.0419731142072886</v>
      </c>
      <c r="CY23" s="10">
        <f>SQRT((Animation!$N25-CW$9)^2+(Animation!$O25-CX$9)^2)</f>
        <v>3.3207826633425275</v>
      </c>
      <c r="CZ23" s="19">
        <f t="shared" si="63"/>
        <v>1.2922154412438572E-11</v>
      </c>
      <c r="DA23" s="10">
        <f t="shared" si="64"/>
        <v>1.1304643876045802E-4</v>
      </c>
      <c r="DB23" s="10">
        <f t="shared" si="65"/>
        <v>1.6080431374982224E-3</v>
      </c>
      <c r="DC23" s="10">
        <f t="shared" si="66"/>
        <v>1.7210895891808348E-3</v>
      </c>
      <c r="DD23" s="20">
        <f t="shared" si="67"/>
        <v>7.508124210192316E-9</v>
      </c>
      <c r="DE23" s="11">
        <f t="shared" si="68"/>
        <v>6.5683064653399764E-2</v>
      </c>
      <c r="DF23" s="11">
        <f t="shared" si="69"/>
        <v>0.93431692783847597</v>
      </c>
      <c r="DG23" s="26"/>
      <c r="DH23" s="16">
        <f>SQRT((Animation!$N25-DH$7)^2+(Animation!$O25-DI$7)^2)</f>
        <v>6.8885247806207897</v>
      </c>
      <c r="DI23" s="10">
        <f>SQRT((Animation!$N25-DH$8)^2+(Animation!$O25-DI$8)^2)</f>
        <v>4.5682361486771823</v>
      </c>
      <c r="DJ23" s="10">
        <f>SQRT((Animation!$N25-DH$9)^2+(Animation!$O25-DI$9)^2)</f>
        <v>2.9119369640751653</v>
      </c>
      <c r="DK23" s="19">
        <f t="shared" si="70"/>
        <v>1.9810176218659122E-11</v>
      </c>
      <c r="DL23" s="10">
        <f t="shared" si="71"/>
        <v>1.173037075659971E-5</v>
      </c>
      <c r="DM23" s="10">
        <f t="shared" si="72"/>
        <v>5.7495885998868181E-3</v>
      </c>
      <c r="DN23" s="10">
        <f t="shared" si="73"/>
        <v>5.7613189904535938E-3</v>
      </c>
      <c r="DO23" s="20">
        <f t="shared" si="74"/>
        <v>3.4384793224406152E-9</v>
      </c>
      <c r="DP23" s="11">
        <f t="shared" si="75"/>
        <v>2.0360564613826682E-3</v>
      </c>
      <c r="DQ23" s="11">
        <f t="shared" si="76"/>
        <v>0.997963940100138</v>
      </c>
      <c r="DR23" s="26"/>
      <c r="DS23" s="16">
        <f>SQRT((Animation!$N25-DS$7)^2+(Animation!$O25-DT$7)^2)</f>
        <v>6.7727854555302125</v>
      </c>
      <c r="DT23" s="10">
        <f>SQRT((Animation!$N25-DS$8)^2+(Animation!$O25-DT$8)^2)</f>
        <v>4.6746996625786252</v>
      </c>
      <c r="DU23" s="10">
        <f>SQRT((Animation!$N25-DS$9)^2+(Animation!$O25-DT$9)^2)</f>
        <v>2.7413633627744622</v>
      </c>
      <c r="DV23" s="19">
        <f t="shared" si="77"/>
        <v>4.3674795312480516E-11</v>
      </c>
      <c r="DW23" s="10">
        <f t="shared" si="78"/>
        <v>7.1718493993376992E-6</v>
      </c>
      <c r="DX23" s="10">
        <f t="shared" si="79"/>
        <v>9.3117794144377333E-3</v>
      </c>
      <c r="DY23" s="10">
        <f t="shared" si="80"/>
        <v>9.3189513075118656E-3</v>
      </c>
      <c r="DZ23" s="20">
        <f t="shared" si="81"/>
        <v>4.6866641826183733E-9</v>
      </c>
      <c r="EA23" s="11">
        <f t="shared" si="82"/>
        <v>7.695983338336128E-4</v>
      </c>
      <c r="EB23" s="11">
        <f t="shared" si="83"/>
        <v>0.99923039697950233</v>
      </c>
      <c r="EC23" s="26"/>
      <c r="ED23" s="16">
        <f>SQRT((Animation!$N25-ED$7)^2+(Animation!$O25-EE$7)^2)</f>
        <v>6.6745146827565742</v>
      </c>
      <c r="EE23" s="10">
        <f>SQRT((Animation!$N25-ED$8)^2+(Animation!$O25-EE$8)^2)</f>
        <v>4.67791121387235</v>
      </c>
      <c r="EF23" s="10">
        <f>SQRT((Animation!$N25-ED$9)^2+(Animation!$O25-EE$9)^2)</f>
        <v>2.6261569948875279</v>
      </c>
      <c r="EG23" s="19">
        <f t="shared" si="84"/>
        <v>8.4564068786452513E-11</v>
      </c>
      <c r="EH23" s="10">
        <f t="shared" si="85"/>
        <v>7.064945926016456E-6</v>
      </c>
      <c r="EI23" s="10">
        <f t="shared" si="86"/>
        <v>1.26855869717166E-2</v>
      </c>
      <c r="EJ23" s="10">
        <f t="shared" si="87"/>
        <v>1.2692652002206685E-2</v>
      </c>
      <c r="EK23" s="20">
        <f t="shared" si="88"/>
        <v>6.6624428662938683E-9</v>
      </c>
      <c r="EL23" s="11">
        <f t="shared" si="89"/>
        <v>5.5661700366386611E-4</v>
      </c>
      <c r="EM23" s="11">
        <f t="shared" si="90"/>
        <v>0.99944337633389324</v>
      </c>
      <c r="EN23" s="26"/>
      <c r="EO23" s="16">
        <f>SQRT((Animation!$N25-EO$7)^2+(Animation!$O25-EP$7)^2)</f>
        <v>6.602547732846678</v>
      </c>
      <c r="EP23" s="10">
        <f>SQRT((Animation!$N25-EO$8)^2+(Animation!$O25-EP$8)^2)</f>
        <v>4.6784019764950528</v>
      </c>
      <c r="EQ23" s="10">
        <f>SQRT((Animation!$N25-EO$9)^2+(Animation!$O25-EP$9)^2)</f>
        <v>2.529961398226356</v>
      </c>
      <c r="ER23" s="19">
        <f t="shared" si="91"/>
        <v>1.3635534382113582E-10</v>
      </c>
      <c r="ES23" s="10">
        <f t="shared" si="92"/>
        <v>7.0487443735767793E-6</v>
      </c>
      <c r="ET23" s="10">
        <f t="shared" si="93"/>
        <v>1.6256037976070638E-2</v>
      </c>
      <c r="EU23" s="10">
        <f t="shared" si="94"/>
        <v>1.6263086856799558E-2</v>
      </c>
      <c r="EV23" s="20">
        <f t="shared" si="95"/>
        <v>8.3843457900568227E-9</v>
      </c>
      <c r="EW23" s="11">
        <f t="shared" si="96"/>
        <v>4.3341983201852704E-4</v>
      </c>
      <c r="EX23" s="11">
        <f t="shared" si="97"/>
        <v>0.99956657178363573</v>
      </c>
      <c r="EY23" s="26"/>
      <c r="EZ23" s="16">
        <f>SQRT((Animation!$N25-EZ$7)^2+(Animation!$O25-FA$7)^2)</f>
        <v>6.5519016243341808</v>
      </c>
      <c r="FA23" s="10">
        <f>SQRT((Animation!$N25-EZ$8)^2+(Animation!$O25-FA$8)^2)</f>
        <v>4.6786480979448113</v>
      </c>
      <c r="FB23" s="10">
        <f>SQRT((Animation!$N25-EZ$9)^2+(Animation!$O25-FA$9)^2)</f>
        <v>2.4557520972400995</v>
      </c>
      <c r="FC23" s="19">
        <f t="shared" si="98"/>
        <v>1.9025687547493245E-10</v>
      </c>
      <c r="FD23" s="10">
        <f t="shared" si="99"/>
        <v>7.0406325188270629E-6</v>
      </c>
      <c r="FE23" s="10">
        <f t="shared" si="100"/>
        <v>1.9559430804872997E-2</v>
      </c>
      <c r="FF23" s="10">
        <f t="shared" si="101"/>
        <v>1.9566471627648699E-2</v>
      </c>
      <c r="FG23" s="20">
        <f t="shared" si="102"/>
        <v>9.7236169655691582E-9</v>
      </c>
      <c r="FH23" s="11">
        <f t="shared" si="103"/>
        <v>3.5983148381633565E-4</v>
      </c>
      <c r="FI23" s="11">
        <f t="shared" si="104"/>
        <v>0.99964015879256674</v>
      </c>
      <c r="FJ23" s="26"/>
      <c r="FK23" s="16">
        <f>SQRT((Animation!$N25-FK$7)^2+(Animation!$O25-FL$7)^2)</f>
        <v>6.5180259518805288</v>
      </c>
      <c r="FL23" s="10">
        <f>SQRT((Animation!$N25-FK$8)^2+(Animation!$O25-FL$8)^2)</f>
        <v>4.6787632208090422</v>
      </c>
      <c r="FM23" s="10">
        <f>SQRT((Animation!$N25-FK$9)^2+(Animation!$O25-FL$9)^2)</f>
        <v>2.403962325880947</v>
      </c>
      <c r="FN23" s="19">
        <f t="shared" si="105"/>
        <v>2.3740117414870784E-10</v>
      </c>
      <c r="FO23" s="10">
        <f t="shared" si="106"/>
        <v>7.0368412722449644E-6</v>
      </c>
      <c r="FP23" s="10">
        <f t="shared" si="107"/>
        <v>2.2182402927876408E-2</v>
      </c>
      <c r="FQ23" s="10">
        <f t="shared" si="108"/>
        <v>2.2189440006549828E-2</v>
      </c>
      <c r="FR23" s="20">
        <f t="shared" si="109"/>
        <v>1.0698835756045772E-8</v>
      </c>
      <c r="FS23" s="11">
        <f t="shared" si="110"/>
        <v>3.1712568096210834E-4</v>
      </c>
      <c r="FT23" s="11">
        <f t="shared" si="111"/>
        <v>0.99968286362020209</v>
      </c>
      <c r="FU23" s="26"/>
      <c r="FV23" s="16">
        <f>SQRT((Animation!$N25-FV$7)^2+(Animation!$O25-FW$7)^2)</f>
        <v>6.496379764787191</v>
      </c>
      <c r="FW23" s="10">
        <f>SQRT((Animation!$N25-FV$8)^2+(Animation!$O25-FW$8)^2)</f>
        <v>4.6788059925483614</v>
      </c>
      <c r="FX23" s="10">
        <f>SQRT((Animation!$N25-FV$9)^2+(Animation!$O25-FW$9)^2)</f>
        <v>2.370560496726247</v>
      </c>
      <c r="FY23" s="19">
        <f t="shared" si="112"/>
        <v>2.733102395462008E-10</v>
      </c>
      <c r="FZ23" s="10">
        <f t="shared" si="113"/>
        <v>7.0354332021858928E-6</v>
      </c>
      <c r="GA23" s="10">
        <f t="shared" si="114"/>
        <v>2.4023636778531022E-2</v>
      </c>
      <c r="GB23" s="10">
        <f t="shared" si="115"/>
        <v>2.4030672485043446E-2</v>
      </c>
      <c r="GC23" s="20">
        <f t="shared" si="116"/>
        <v>1.1373391223916332E-8</v>
      </c>
      <c r="GD23" s="11">
        <f t="shared" si="117"/>
        <v>2.9276888553845951E-4</v>
      </c>
      <c r="GE23" s="11">
        <f t="shared" si="118"/>
        <v>0.99970721974107035</v>
      </c>
      <c r="GF23" s="26"/>
      <c r="GG23" s="16">
        <f>SQRT((Animation!$N25-GG$7)^2+(Animation!$O25-GH$7)^2)</f>
        <v>6.4830241186074282</v>
      </c>
      <c r="GH23" s="10">
        <f>SQRT((Animation!$N25-GG$8)^2+(Animation!$O25-GH$8)^2)</f>
        <v>4.6788168903663694</v>
      </c>
      <c r="GI23" s="10">
        <f>SQRT((Animation!$N25-GG$9)^2+(Animation!$O25-GH$9)^2)</f>
        <v>2.3500593893935351</v>
      </c>
      <c r="GJ23" s="19">
        <f t="shared" si="119"/>
        <v>2.9805609930846801E-10</v>
      </c>
      <c r="GK23" s="10">
        <f t="shared" si="120"/>
        <v>7.0350744827845051E-6</v>
      </c>
      <c r="GL23" s="10">
        <f t="shared" si="121"/>
        <v>2.521470053357202E-2</v>
      </c>
      <c r="GM23" s="10">
        <f t="shared" si="122"/>
        <v>2.5221735906110904E-2</v>
      </c>
      <c r="GN23" s="20">
        <f t="shared" si="123"/>
        <v>1.1817430030113544E-8</v>
      </c>
      <c r="GO23" s="11">
        <f t="shared" si="124"/>
        <v>2.7892903600976952E-4</v>
      </c>
      <c r="GP23" s="11">
        <f t="shared" si="125"/>
        <v>0.99972105914656018</v>
      </c>
      <c r="GQ23" s="26"/>
      <c r="GR23" s="16">
        <f>SQRT((Animation!$N25-GR$7)^2+(Animation!$O25-GS$7)^2)</f>
        <v>6.4749833144583437</v>
      </c>
      <c r="GS23" s="10">
        <f>SQRT((Animation!$N25-GR$8)^2+(Animation!$O25-GS$8)^2)</f>
        <v>4.678816895295844</v>
      </c>
      <c r="GT23" s="10">
        <f>SQRT((Animation!$N25-GR$9)^2+(Animation!$O25-GS$9)^2)</f>
        <v>2.337817803804787</v>
      </c>
      <c r="GU23" s="19">
        <f t="shared" si="126"/>
        <v>3.1399533260010296E-10</v>
      </c>
      <c r="GV23" s="10">
        <f t="shared" si="127"/>
        <v>7.0350743205267831E-6</v>
      </c>
      <c r="GW23" s="10">
        <f t="shared" si="128"/>
        <v>2.5948679029987584E-2</v>
      </c>
      <c r="GX23" s="10">
        <f t="shared" si="129"/>
        <v>2.5955714418303445E-2</v>
      </c>
      <c r="GY23" s="20">
        <f t="shared" si="130"/>
        <v>1.2097348874307224E-8</v>
      </c>
      <c r="GZ23" s="11">
        <f t="shared" si="131"/>
        <v>2.7104144417484385E-4</v>
      </c>
      <c r="HA23" s="11">
        <f t="shared" si="132"/>
        <v>0.99972894645847621</v>
      </c>
      <c r="HB23" s="26"/>
      <c r="HC23" s="16">
        <f>SQRT((Animation!$N25-HC$7)^2+(Animation!$O25-HD$7)^2)</f>
        <v>6.470219074324751</v>
      </c>
      <c r="HD23" s="10">
        <f>SQRT((Animation!$N25-HC$8)^2+(Animation!$O25-HD$8)^2)</f>
        <v>4.6788144040849264</v>
      </c>
      <c r="HE23" s="10">
        <f>SQRT((Animation!$N25-HC$9)^2+(Animation!$O25-HD$9)^2)</f>
        <v>2.330614065269057</v>
      </c>
      <c r="HF23" s="19">
        <f t="shared" si="133"/>
        <v>3.238288540033862E-10</v>
      </c>
      <c r="HG23" s="10">
        <f t="shared" si="134"/>
        <v>7.0351563212444336E-6</v>
      </c>
      <c r="HH23" s="10">
        <f t="shared" si="135"/>
        <v>2.6388697280495831E-2</v>
      </c>
      <c r="HI23" s="10">
        <f t="shared" si="136"/>
        <v>2.639573276064593E-2</v>
      </c>
      <c r="HJ23" s="20">
        <f t="shared" si="137"/>
        <v>1.2268227479791388E-8</v>
      </c>
      <c r="HK23" s="11">
        <f t="shared" si="138"/>
        <v>2.665262747216977E-4</v>
      </c>
      <c r="HL23" s="11">
        <f t="shared" si="139"/>
        <v>0.99973346145705078</v>
      </c>
      <c r="HM23" s="26"/>
      <c r="HN23" s="16">
        <f>SQRT((Animation!$N25-HN$7)^2+(Animation!$O25-HO$7)^2)</f>
        <v>6.4674240199038753</v>
      </c>
      <c r="HO23" s="10">
        <f>SQRT((Animation!$N25-HN$8)^2+(Animation!$O25-HO$8)^2)</f>
        <v>4.6788120481703777</v>
      </c>
      <c r="HP23" s="10">
        <f>SQRT((Animation!$N25-HN$9)^2+(Animation!$O25-HO$9)^2)</f>
        <v>2.3264077028414616</v>
      </c>
      <c r="HQ23" s="19">
        <f t="shared" si="140"/>
        <v>3.297371612726591E-10</v>
      </c>
      <c r="HR23" s="10">
        <f t="shared" si="141"/>
        <v>7.0352338693849425E-6</v>
      </c>
      <c r="HS23" s="10">
        <f t="shared" si="142"/>
        <v>2.6648432899371313E-2</v>
      </c>
      <c r="HT23" s="10">
        <f t="shared" si="143"/>
        <v>2.6655468462977859E-2</v>
      </c>
      <c r="HU23" s="20">
        <f t="shared" si="144"/>
        <v>1.2370338256505809E-8</v>
      </c>
      <c r="HV23" s="11">
        <f t="shared" si="145"/>
        <v>2.639321038066269E-4</v>
      </c>
      <c r="HW23" s="11">
        <f t="shared" si="146"/>
        <v>0.99973605552585509</v>
      </c>
    </row>
    <row r="24" spans="2:231" x14ac:dyDescent="0.25">
      <c r="B24" s="16">
        <f>SQRT((Animation!$N26-B$7)^2+(Animation!$O26-C$7)^2)</f>
        <v>4.1231056256176606</v>
      </c>
      <c r="C24" s="10">
        <f>SQRT((Animation!$N26-B$8)^2+(Animation!$O26-C$8)^2)</f>
        <v>4</v>
      </c>
      <c r="D24" s="10">
        <f>SQRT((Animation!$N26-B$9)^2+(Animation!$O26-C$9)^2)</f>
        <v>7.6157731058639087</v>
      </c>
      <c r="E24" s="19">
        <f t="shared" si="0"/>
        <v>8.1172135122666584E-5</v>
      </c>
      <c r="F24" s="10">
        <f t="shared" si="1"/>
        <v>1.3383022576488537E-4</v>
      </c>
      <c r="G24" s="10">
        <f t="shared" si="2"/>
        <v>1.0147757739433325E-13</v>
      </c>
      <c r="H24" s="10">
        <f t="shared" si="3"/>
        <v>2.1500236098902952E-4</v>
      </c>
      <c r="I24" s="20">
        <f t="shared" si="4"/>
        <v>0.37754066861995245</v>
      </c>
      <c r="J24" s="11">
        <f t="shared" si="5"/>
        <v>0.62245933090806405</v>
      </c>
      <c r="K24" s="11">
        <f t="shared" si="6"/>
        <v>4.7198354905279915E-10</v>
      </c>
      <c r="L24" s="1"/>
      <c r="M24" s="16">
        <f>SQRT((Animation!$N26-M$7)^2+(Animation!$O26-N$7)^2)</f>
        <v>3.6694997890776762</v>
      </c>
      <c r="N24" s="10">
        <f>SQRT((Animation!$N26-M$8)^2+(Animation!$O26-N$8)^2)</f>
        <v>3.0264839475760752</v>
      </c>
      <c r="O24" s="10">
        <f>SQRT((Animation!$N26-M$9)^2+(Animation!$O26-N$9)^2)</f>
        <v>4.7248261385079946</v>
      </c>
      <c r="P24" s="19">
        <f t="shared" si="7"/>
        <v>4.7530546128497553E-4</v>
      </c>
      <c r="Q24" s="10">
        <f t="shared" si="8"/>
        <v>4.0919196143508569E-3</v>
      </c>
      <c r="R24" s="10">
        <f t="shared" si="9"/>
        <v>5.6665530500471194E-6</v>
      </c>
      <c r="S24" s="10">
        <f t="shared" si="10"/>
        <v>4.5728916286858793E-3</v>
      </c>
      <c r="T24" s="20">
        <f t="shared" si="11"/>
        <v>0.10393980436872172</v>
      </c>
      <c r="U24" s="11">
        <f t="shared" si="12"/>
        <v>0.89482103373763089</v>
      </c>
      <c r="V24" s="11">
        <f t="shared" si="13"/>
        <v>1.2391618936474836E-3</v>
      </c>
      <c r="W24" s="1"/>
      <c r="X24" s="16">
        <f>SQRT((Animation!$N26-X$7)^2+(Animation!$O26-Y$7)^2)</f>
        <v>4.2019930533117602</v>
      </c>
      <c r="Y24" s="10">
        <f>SQRT((Animation!$N26-X$8)^2+(Animation!$O26-Y$8)^2)</f>
        <v>2.1547213239919185</v>
      </c>
      <c r="Z24" s="10">
        <f>SQRT((Animation!$N26-X$9)^2+(Animation!$O26-Y$9)^2)</f>
        <v>4.5713634686251767</v>
      </c>
      <c r="AA24" s="19">
        <f t="shared" si="14"/>
        <v>5.8451608963685305E-5</v>
      </c>
      <c r="AB24" s="10">
        <f t="shared" si="15"/>
        <v>3.9150169571071883E-2</v>
      </c>
      <c r="AC24" s="10">
        <f t="shared" si="16"/>
        <v>1.156392159016023E-5</v>
      </c>
      <c r="AD24" s="10">
        <f t="shared" si="17"/>
        <v>3.9220185101625726E-2</v>
      </c>
      <c r="AE24" s="20">
        <f t="shared" si="18"/>
        <v>1.4903450560528439E-3</v>
      </c>
      <c r="AF24" s="11">
        <f t="shared" si="19"/>
        <v>0.99821480876817836</v>
      </c>
      <c r="AG24" s="11">
        <f t="shared" si="20"/>
        <v>2.948461757688362E-4</v>
      </c>
      <c r="AH24" s="26"/>
      <c r="AI24" s="16">
        <f>SQRT((Animation!$N26-AI$7)^2+(Animation!$O26-AJ$7)^2)</f>
        <v>4.5583433031723812</v>
      </c>
      <c r="AJ24" s="10">
        <f>SQRT((Animation!$N26-AI$8)^2+(Animation!$O26-AJ$8)^2)</f>
        <v>1.7511826751620763</v>
      </c>
      <c r="AK24" s="10">
        <f>SQRT((Animation!$N26-AI$9)^2+(Animation!$O26-AJ$9)^2)</f>
        <v>4.5226165904294895</v>
      </c>
      <c r="AL24" s="19">
        <f t="shared" si="21"/>
        <v>1.2272060689441744E-5</v>
      </c>
      <c r="AM24" s="10">
        <f t="shared" si="22"/>
        <v>8.6098876699361976E-2</v>
      </c>
      <c r="AN24" s="10">
        <f t="shared" si="23"/>
        <v>1.4433351611793813E-5</v>
      </c>
      <c r="AO24" s="10">
        <f t="shared" si="24"/>
        <v>8.6125582111663213E-2</v>
      </c>
      <c r="AP24" s="20">
        <f t="shared" si="25"/>
        <v>1.4249030762463605E-4</v>
      </c>
      <c r="AQ24" s="11">
        <f t="shared" si="26"/>
        <v>0.99968992473958995</v>
      </c>
      <c r="AR24" s="11">
        <f t="shared" si="27"/>
        <v>1.675849527853494E-4</v>
      </c>
      <c r="AS24" s="26"/>
      <c r="AT24" s="16">
        <f>SQRT((Animation!$N26-AT$7)^2+(Animation!$O26-AU$7)^2)</f>
        <v>4.855226657202854</v>
      </c>
      <c r="AU24" s="10">
        <f>SQRT((Animation!$N26-AT$8)^2+(Animation!$O26-AU$8)^2)</f>
        <v>1.4304557843195651</v>
      </c>
      <c r="AV24" s="10">
        <f>SQRT((Animation!$N26-AT$9)^2+(Animation!$O26-AU$9)^2)</f>
        <v>4.4204586486004533</v>
      </c>
      <c r="AW24" s="19">
        <f t="shared" si="28"/>
        <v>3.034234226033199E-6</v>
      </c>
      <c r="AX24" s="10">
        <f t="shared" si="29"/>
        <v>0.14341103393098492</v>
      </c>
      <c r="AY24" s="10">
        <f t="shared" si="30"/>
        <v>2.2790520746253438E-5</v>
      </c>
      <c r="AZ24" s="10">
        <f t="shared" si="31"/>
        <v>0.14343685868595721</v>
      </c>
      <c r="BA24" s="20">
        <f t="shared" si="32"/>
        <v>2.1153797244517161E-5</v>
      </c>
      <c r="BB24" s="11">
        <f t="shared" si="33"/>
        <v>0.99981995733029239</v>
      </c>
      <c r="BC24" s="11">
        <f t="shared" si="34"/>
        <v>1.58888872463049E-4</v>
      </c>
      <c r="BD24" s="26"/>
      <c r="BE24" s="16">
        <f>SQRT((Animation!$N26-BE$7)^2+(Animation!$O26-BF$7)^2)</f>
        <v>5.3663119375341655</v>
      </c>
      <c r="BF24" s="10">
        <f>SQRT((Animation!$N26-BE$8)^2+(Animation!$O26-BF$8)^2)</f>
        <v>1.1042955006998525</v>
      </c>
      <c r="BG24" s="10">
        <f>SQRT((Animation!$N26-BE$9)^2+(Animation!$O26-BF$9)^2)</f>
        <v>4.3429723139188496</v>
      </c>
      <c r="BH24" s="19">
        <f t="shared" si="35"/>
        <v>2.2266655831984459E-7</v>
      </c>
      <c r="BI24" s="10">
        <f t="shared" si="36"/>
        <v>0.21682324215784296</v>
      </c>
      <c r="BJ24" s="10">
        <f t="shared" si="37"/>
        <v>3.2004219869480201E-5</v>
      </c>
      <c r="BK24" s="10">
        <f t="shared" si="38"/>
        <v>0.21685546904427078</v>
      </c>
      <c r="BL24" s="20">
        <f t="shared" si="39"/>
        <v>1.0267970612001834E-6</v>
      </c>
      <c r="BM24" s="11">
        <f t="shared" si="40"/>
        <v>0.99985139002225842</v>
      </c>
      <c r="BN24" s="11">
        <f t="shared" si="41"/>
        <v>1.4758318068033865E-4</v>
      </c>
      <c r="BO24" s="26"/>
      <c r="BP24" s="16">
        <f>SQRT((Animation!$N26-BP$7)^2+(Animation!$O26-BQ$7)^2)</f>
        <v>5.5577998551964738</v>
      </c>
      <c r="BQ24" s="10">
        <f>SQRT((Animation!$N26-BP$8)^2+(Animation!$O26-BQ$8)^2)</f>
        <v>0.95862305714390905</v>
      </c>
      <c r="BR24" s="10">
        <f>SQRT((Animation!$N26-BP$9)^2+(Animation!$O26-BQ$9)^2)</f>
        <v>4.2775794526302455</v>
      </c>
      <c r="BS24" s="19">
        <f t="shared" si="42"/>
        <v>7.8238174119106423E-8</v>
      </c>
      <c r="BT24" s="10">
        <f t="shared" si="43"/>
        <v>0.25197696205949566</v>
      </c>
      <c r="BU24" s="10">
        <f t="shared" si="44"/>
        <v>4.2424627801044162E-5</v>
      </c>
      <c r="BV24" s="10">
        <f t="shared" si="45"/>
        <v>0.25201946492547078</v>
      </c>
      <c r="BW24" s="20">
        <f t="shared" si="46"/>
        <v>3.1044496559915974E-7</v>
      </c>
      <c r="BX24" s="11">
        <f t="shared" si="47"/>
        <v>0.9998313508601897</v>
      </c>
      <c r="BY24" s="11">
        <f t="shared" si="48"/>
        <v>1.6833869484482206E-4</v>
      </c>
      <c r="BZ24" s="26"/>
      <c r="CA24" s="16">
        <f>SQRT((Animation!$N26-CA$7)^2+(Animation!$O26-CB$7)^2)</f>
        <v>5.5486593475410686</v>
      </c>
      <c r="CB24" s="10">
        <f>SQRT((Animation!$N26-CA$8)^2+(Animation!$O26-CB$8)^2)</f>
        <v>0.88836233369841078</v>
      </c>
      <c r="CC24" s="10">
        <f>SQRT((Animation!$N26-CA$9)^2+(Animation!$O26-CB$9)^2)</f>
        <v>4.2091199181677901</v>
      </c>
      <c r="CD24" s="19">
        <f t="shared" si="49"/>
        <v>8.2312009971341447E-8</v>
      </c>
      <c r="CE24" s="10">
        <f t="shared" si="50"/>
        <v>0.26886863855258741</v>
      </c>
      <c r="CF24" s="10">
        <f t="shared" si="51"/>
        <v>5.6725666598410663E-5</v>
      </c>
      <c r="CG24" s="10">
        <f t="shared" si="52"/>
        <v>0.26892544653119582</v>
      </c>
      <c r="CH24" s="20">
        <f t="shared" si="53"/>
        <v>3.0607743161929866E-7</v>
      </c>
      <c r="CI24" s="11">
        <f t="shared" si="54"/>
        <v>0.99978875937795708</v>
      </c>
      <c r="CJ24" s="11">
        <f t="shared" si="55"/>
        <v>2.1093454461116004E-4</v>
      </c>
      <c r="CK24" s="26"/>
      <c r="CL24" s="16">
        <f>SQRT((Animation!$N26-CL$7)^2+(Animation!$O26-CM$7)^2)</f>
        <v>5.5346261813507693</v>
      </c>
      <c r="CM24" s="10">
        <f>SQRT((Animation!$N26-CL$8)^2+(Animation!$O26-CM$8)^2)</f>
        <v>0.81379850230659878</v>
      </c>
      <c r="CN24" s="10">
        <f>SQRT((Animation!$N26-CL$9)^2+(Animation!$O26-CM$9)^2)</f>
        <v>4.1225964712299188</v>
      </c>
      <c r="CO24" s="19">
        <f t="shared" si="56"/>
        <v>8.8968628612608527E-8</v>
      </c>
      <c r="CP24" s="10">
        <f t="shared" si="57"/>
        <v>0.28648401616521729</v>
      </c>
      <c r="CQ24" s="10">
        <f t="shared" si="58"/>
        <v>8.1342708014879629E-5</v>
      </c>
      <c r="CR24" s="10">
        <f t="shared" si="59"/>
        <v>0.28656544784186078</v>
      </c>
      <c r="CS24" s="20">
        <f t="shared" si="60"/>
        <v>3.1046530306649273E-7</v>
      </c>
      <c r="CT24" s="11">
        <f t="shared" si="61"/>
        <v>0.99971583567643363</v>
      </c>
      <c r="CU24" s="11">
        <f t="shared" si="62"/>
        <v>2.8385385826335929E-4</v>
      </c>
      <c r="CV24" s="26"/>
      <c r="CW24" s="16">
        <f>SQRT((Animation!$N26-CW$7)^2+(Animation!$O26-CX$7)^2)</f>
        <v>5.5182258652663787</v>
      </c>
      <c r="CX24" s="10">
        <f>SQRT((Animation!$N26-CW$8)^2+(Animation!$O26-CX$8)^2)</f>
        <v>0.73153313814525278</v>
      </c>
      <c r="CY24" s="10">
        <f>SQRT((Animation!$N26-CW$9)^2+(Animation!$O26-CX$9)^2)</f>
        <v>3.9851816974917171</v>
      </c>
      <c r="CZ24" s="19">
        <f t="shared" si="63"/>
        <v>9.74090335915571E-8</v>
      </c>
      <c r="DA24" s="10">
        <f t="shared" si="64"/>
        <v>0.3052851871833076</v>
      </c>
      <c r="DB24" s="10">
        <f t="shared" si="65"/>
        <v>1.4198699142874575E-4</v>
      </c>
      <c r="DC24" s="10">
        <f t="shared" si="66"/>
        <v>0.30542727158376998</v>
      </c>
      <c r="DD24" s="20">
        <f t="shared" si="67"/>
        <v>3.1892709870487315E-7</v>
      </c>
      <c r="DE24" s="11">
        <f t="shared" si="68"/>
        <v>0.99953480119923277</v>
      </c>
      <c r="DF24" s="11">
        <f t="shared" si="69"/>
        <v>4.6487987366839562E-4</v>
      </c>
      <c r="DG24" s="26"/>
      <c r="DH24" s="16">
        <f>SQRT((Animation!$N26-DH$7)^2+(Animation!$O26-DI$7)^2)</f>
        <v>5.4888461497885803</v>
      </c>
      <c r="DI24" s="10">
        <f>SQRT((Animation!$N26-DH$8)^2+(Animation!$O26-DI$8)^2)</f>
        <v>0.88219577828988049</v>
      </c>
      <c r="DJ24" s="10">
        <f>SQRT((Animation!$N26-DH$9)^2+(Animation!$O26-DI$9)^2)</f>
        <v>3.8534452378127768</v>
      </c>
      <c r="DK24" s="19">
        <f t="shared" si="70"/>
        <v>1.1450417391285642E-7</v>
      </c>
      <c r="DL24" s="10">
        <f t="shared" si="71"/>
        <v>0.27034043906104788</v>
      </c>
      <c r="DM24" s="10">
        <f t="shared" si="72"/>
        <v>2.3794794335504555E-4</v>
      </c>
      <c r="DN24" s="10">
        <f t="shared" si="73"/>
        <v>0.27057850150857682</v>
      </c>
      <c r="DO24" s="20">
        <f t="shared" si="74"/>
        <v>4.2318282226582162E-7</v>
      </c>
      <c r="DP24" s="11">
        <f t="shared" si="75"/>
        <v>0.99912017234849904</v>
      </c>
      <c r="DQ24" s="11">
        <f t="shared" si="76"/>
        <v>8.7940446867876179E-4</v>
      </c>
      <c r="DR24" s="26"/>
      <c r="DS24" s="16">
        <f>SQRT((Animation!$N26-DS$7)^2+(Animation!$O26-DT$7)^2)</f>
        <v>5.4377160209056621</v>
      </c>
      <c r="DT24" s="10">
        <f>SQRT((Animation!$N26-DS$8)^2+(Animation!$O26-DT$8)^2)</f>
        <v>0.94207420043254286</v>
      </c>
      <c r="DU24" s="10">
        <f>SQRT((Animation!$N26-DS$9)^2+(Animation!$O26-DT$9)^2)</f>
        <v>3.7969841318410884</v>
      </c>
      <c r="DV24" s="19">
        <f t="shared" si="77"/>
        <v>1.5140366403506028E-7</v>
      </c>
      <c r="DW24" s="10">
        <f t="shared" si="78"/>
        <v>0.25597117646759449</v>
      </c>
      <c r="DX24" s="10">
        <f t="shared" si="79"/>
        <v>2.9531062723595411E-4</v>
      </c>
      <c r="DY24" s="10">
        <f t="shared" si="80"/>
        <v>0.25626663849849451</v>
      </c>
      <c r="DZ24" s="20">
        <f t="shared" si="81"/>
        <v>5.9080520555526668E-7</v>
      </c>
      <c r="EA24" s="11">
        <f t="shared" si="82"/>
        <v>0.99884705230212101</v>
      </c>
      <c r="EB24" s="11">
        <f t="shared" si="83"/>
        <v>1.1523568926732886E-3</v>
      </c>
      <c r="EC24" s="26"/>
      <c r="ED24" s="16">
        <f>SQRT((Animation!$N26-ED$7)^2+(Animation!$O26-EE$7)^2)</f>
        <v>5.3959737533081151</v>
      </c>
      <c r="EE24" s="10">
        <f>SQRT((Animation!$N26-ED$8)^2+(Animation!$O26-EE$8)^2)</f>
        <v>0.94361227605696962</v>
      </c>
      <c r="EF24" s="10">
        <f>SQRT((Animation!$N26-ED$9)^2+(Animation!$O26-EE$9)^2)</f>
        <v>3.7555644226329878</v>
      </c>
      <c r="EG24" s="19">
        <f t="shared" si="84"/>
        <v>1.8981709119106374E-7</v>
      </c>
      <c r="EH24" s="10">
        <f t="shared" si="85"/>
        <v>0.25560024525122571</v>
      </c>
      <c r="EI24" s="10">
        <f t="shared" si="86"/>
        <v>3.4530910018730422E-4</v>
      </c>
      <c r="EJ24" s="10">
        <f t="shared" si="87"/>
        <v>0.25594574416850424</v>
      </c>
      <c r="EK24" s="20">
        <f t="shared" si="88"/>
        <v>7.4163019122559003E-7</v>
      </c>
      <c r="EL24" s="11">
        <f t="shared" si="89"/>
        <v>0.99865010876269511</v>
      </c>
      <c r="EM24" s="11">
        <f t="shared" si="90"/>
        <v>1.349149607113478E-3</v>
      </c>
      <c r="EN24" s="26"/>
      <c r="EO24" s="16">
        <f>SQRT((Animation!$N26-EO$7)^2+(Animation!$O26-EP$7)^2)</f>
        <v>5.3658093057500853</v>
      </c>
      <c r="EP24" s="10">
        <f>SQRT((Animation!$N26-EO$8)^2+(Animation!$O26-EP$8)^2)</f>
        <v>0.94397738596271319</v>
      </c>
      <c r="EQ24" s="10">
        <f>SQRT((Animation!$N26-EO$9)^2+(Animation!$O26-EP$9)^2)</f>
        <v>3.7233358988957788</v>
      </c>
      <c r="ER24" s="19">
        <f t="shared" si="91"/>
        <v>2.2326793464914218E-7</v>
      </c>
      <c r="ES24" s="10">
        <f t="shared" si="92"/>
        <v>0.25551218343218451</v>
      </c>
      <c r="ET24" s="10">
        <f t="shared" si="93"/>
        <v>3.8953624522444031E-4</v>
      </c>
      <c r="EU24" s="10">
        <f t="shared" si="94"/>
        <v>0.25590194294534357</v>
      </c>
      <c r="EV24" s="20">
        <f t="shared" si="95"/>
        <v>8.7247455833826371E-7</v>
      </c>
      <c r="EW24" s="11">
        <f t="shared" si="96"/>
        <v>0.99847691850763987</v>
      </c>
      <c r="EX24" s="11">
        <f t="shared" si="97"/>
        <v>1.5222090178019431E-3</v>
      </c>
      <c r="EY24" s="26"/>
      <c r="EZ24" s="16">
        <f>SQRT((Animation!$N26-EZ$7)^2+(Animation!$O26-FA$7)^2)</f>
        <v>5.344402361267405</v>
      </c>
      <c r="FA24" s="10">
        <f>SQRT((Animation!$N26-EZ$8)^2+(Animation!$O26-FA$8)^2)</f>
        <v>0.94422431302514942</v>
      </c>
      <c r="FB24" s="10">
        <f>SQRT((Animation!$N26-EZ$9)^2+(Animation!$O26-FA$9)^2)</f>
        <v>3.7000501190025248</v>
      </c>
      <c r="FC24" s="19">
        <f t="shared" si="98"/>
        <v>2.5038732130585029E-7</v>
      </c>
      <c r="FD24" s="10">
        <f t="shared" si="99"/>
        <v>0.25545262433990756</v>
      </c>
      <c r="FE24" s="10">
        <f t="shared" si="100"/>
        <v>4.2470150593581515E-4</v>
      </c>
      <c r="FF24" s="10">
        <f t="shared" si="101"/>
        <v>0.25587757623316471</v>
      </c>
      <c r="FG24" s="20">
        <f t="shared" si="102"/>
        <v>9.7854343077600714E-7</v>
      </c>
      <c r="FH24" s="11">
        <f t="shared" si="103"/>
        <v>0.99833923746069131</v>
      </c>
      <c r="FI24" s="11">
        <f t="shared" si="104"/>
        <v>1.6597839958778259E-3</v>
      </c>
      <c r="FJ24" s="26"/>
      <c r="FK24" s="16">
        <f>SQRT((Animation!$N26-FK$7)^2+(Animation!$O26-FL$7)^2)</f>
        <v>5.3297137129521071</v>
      </c>
      <c r="FL24" s="10">
        <f>SQRT((Animation!$N26-FK$8)^2+(Animation!$O26-FL$8)^2)</f>
        <v>0.94439053767612946</v>
      </c>
      <c r="FM24" s="10">
        <f>SQRT((Animation!$N26-FK$9)^2+(Animation!$O26-FL$9)^2)</f>
        <v>3.6847097440564429</v>
      </c>
      <c r="FN24" s="19">
        <f t="shared" si="105"/>
        <v>2.7080612873066524E-7</v>
      </c>
      <c r="FO24" s="10">
        <f t="shared" si="106"/>
        <v>0.25541252981067947</v>
      </c>
      <c r="FP24" s="10">
        <f t="shared" si="107"/>
        <v>4.4945200579552826E-4</v>
      </c>
      <c r="FQ24" s="10">
        <f t="shared" si="108"/>
        <v>0.25586225262260376</v>
      </c>
      <c r="FR24" s="20">
        <f t="shared" si="109"/>
        <v>1.058405942865295E-6</v>
      </c>
      <c r="FS24" s="11">
        <f t="shared" si="110"/>
        <v>0.99824232450345995</v>
      </c>
      <c r="FT24" s="11">
        <f t="shared" si="111"/>
        <v>1.7566170905970603E-3</v>
      </c>
      <c r="FU24" s="26"/>
      <c r="FV24" s="16">
        <f>SQRT((Animation!$N26-FV$7)^2+(Animation!$O26-FW$7)^2)</f>
        <v>5.3200379118963586</v>
      </c>
      <c r="FW24" s="10">
        <f>SQRT((Animation!$N26-FV$8)^2+(Animation!$O26-FW$8)^2)</f>
        <v>0.94449554024437288</v>
      </c>
      <c r="FX24" s="10">
        <f>SQRT((Animation!$N26-FV$9)^2+(Animation!$O26-FW$9)^2)</f>
        <v>3.6752677513990823</v>
      </c>
      <c r="FY24" s="19">
        <f t="shared" si="112"/>
        <v>2.8512441011402377E-7</v>
      </c>
      <c r="FZ24" s="10">
        <f t="shared" si="113"/>
        <v>0.25538720207553078</v>
      </c>
      <c r="GA24" s="10">
        <f t="shared" si="114"/>
        <v>4.6534334176903972E-4</v>
      </c>
      <c r="GB24" s="10">
        <f t="shared" si="115"/>
        <v>0.25585283054170999</v>
      </c>
      <c r="GC24" s="20">
        <f t="shared" si="116"/>
        <v>1.1144078785852706E-6</v>
      </c>
      <c r="GD24" s="11">
        <f t="shared" si="117"/>
        <v>0.99818009257433915</v>
      </c>
      <c r="GE24" s="11">
        <f t="shared" si="118"/>
        <v>1.818793017782064E-3</v>
      </c>
      <c r="GF24" s="26"/>
      <c r="GG24" s="16">
        <f>SQRT((Animation!$N26-GG$7)^2+(Animation!$O26-GH$7)^2)</f>
        <v>5.3139121638255782</v>
      </c>
      <c r="GH24" s="10">
        <f>SQRT((Animation!$N26-GG$8)^2+(Animation!$O26-GH$8)^2)</f>
        <v>0.94455858550951477</v>
      </c>
      <c r="GI24" s="10">
        <f>SQRT((Animation!$N26-GG$9)^2+(Animation!$O26-GH$9)^2)</f>
        <v>3.6696704700300984</v>
      </c>
      <c r="GJ24" s="19">
        <f t="shared" si="119"/>
        <v>2.9456393058486347E-7</v>
      </c>
      <c r="GK24" s="10">
        <f t="shared" si="120"/>
        <v>0.25537199474165101</v>
      </c>
      <c r="GL24" s="10">
        <f t="shared" si="121"/>
        <v>4.7500785723924639E-4</v>
      </c>
      <c r="GM24" s="10">
        <f t="shared" si="122"/>
        <v>0.25584729716282084</v>
      </c>
      <c r="GN24" s="20">
        <f t="shared" si="123"/>
        <v>1.1513271152417272E-6</v>
      </c>
      <c r="GO24" s="11">
        <f t="shared" si="124"/>
        <v>0.9981422417729614</v>
      </c>
      <c r="GP24" s="11">
        <f t="shared" si="125"/>
        <v>1.8566068999234027E-3</v>
      </c>
      <c r="GQ24" s="26"/>
      <c r="GR24" s="16">
        <f>SQRT((Animation!$N26-GR$7)^2+(Animation!$O26-GS$7)^2)</f>
        <v>5.3101563971626913</v>
      </c>
      <c r="GS24" s="10">
        <f>SQRT((Animation!$N26-GR$8)^2+(Animation!$O26-GS$8)^2)</f>
        <v>0.94459541011551729</v>
      </c>
      <c r="GT24" s="10">
        <f>SQRT((Animation!$N26-GR$9)^2+(Animation!$O26-GS$9)^2)</f>
        <v>3.6664071584279627</v>
      </c>
      <c r="GU24" s="19">
        <f t="shared" si="126"/>
        <v>3.0049972011519618E-7</v>
      </c>
      <c r="GV24" s="10">
        <f t="shared" si="127"/>
        <v>0.25536311211946772</v>
      </c>
      <c r="GW24" s="10">
        <f t="shared" si="128"/>
        <v>4.8072784495677753E-4</v>
      </c>
      <c r="GX24" s="10">
        <f t="shared" si="129"/>
        <v>0.25584414046414461</v>
      </c>
      <c r="GY24" s="20">
        <f t="shared" si="130"/>
        <v>1.1745421238494607E-6</v>
      </c>
      <c r="GZ24" s="11">
        <f t="shared" si="131"/>
        <v>0.99811983833671458</v>
      </c>
      <c r="HA24" s="11">
        <f t="shared" si="132"/>
        <v>1.8789871211615627E-3</v>
      </c>
      <c r="HB24" s="26"/>
      <c r="HC24" s="16">
        <f>SQRT((Animation!$N26-HC$7)^2+(Animation!$O26-HD$7)^2)</f>
        <v>5.3079049279025385</v>
      </c>
      <c r="HD24" s="10">
        <f>SQRT((Animation!$N26-HC$8)^2+(Animation!$O26-HD$8)^2)</f>
        <v>0.94461668976462665</v>
      </c>
      <c r="HE24" s="10">
        <f>SQRT((Animation!$N26-HC$9)^2+(Animation!$O26-HD$9)^2)</f>
        <v>3.6645162528127382</v>
      </c>
      <c r="HF24" s="19">
        <f t="shared" si="133"/>
        <v>3.0411318217907424E-7</v>
      </c>
      <c r="HG24" s="10">
        <f t="shared" si="134"/>
        <v>0.25535797914643271</v>
      </c>
      <c r="HH24" s="10">
        <f t="shared" si="135"/>
        <v>4.8407136354824352E-4</v>
      </c>
      <c r="HI24" s="10">
        <f t="shared" si="136"/>
        <v>0.25584235462316313</v>
      </c>
      <c r="HJ24" s="20">
        <f t="shared" si="137"/>
        <v>1.1886741060799354E-6</v>
      </c>
      <c r="HK24" s="11">
        <f t="shared" si="138"/>
        <v>0.99810674242173913</v>
      </c>
      <c r="HL24" s="11">
        <f t="shared" si="139"/>
        <v>1.8920689041548452E-3</v>
      </c>
      <c r="HM24" s="26"/>
      <c r="HN24" s="16">
        <f>SQRT((Animation!$N26-HN$7)^2+(Animation!$O26-HO$7)^2)</f>
        <v>5.3065745924510992</v>
      </c>
      <c r="HO24" s="10">
        <f>SQRT((Animation!$N26-HN$8)^2+(Animation!$O26-HO$8)^2)</f>
        <v>0.94462895496505572</v>
      </c>
      <c r="HP24" s="10">
        <f>SQRT((Animation!$N26-HN$9)^2+(Animation!$O26-HO$9)^2)</f>
        <v>3.6634226362477254</v>
      </c>
      <c r="HQ24" s="19">
        <f t="shared" si="140"/>
        <v>3.0626794348621973E-7</v>
      </c>
      <c r="HR24" s="10">
        <f t="shared" si="141"/>
        <v>0.2553550205890267</v>
      </c>
      <c r="HS24" s="10">
        <f t="shared" si="142"/>
        <v>4.8601491798582597E-4</v>
      </c>
      <c r="HT24" s="10">
        <f t="shared" si="143"/>
        <v>0.25584134177495604</v>
      </c>
      <c r="HU24" s="20">
        <f t="shared" si="144"/>
        <v>1.1971010680346576E-6</v>
      </c>
      <c r="HV24" s="11">
        <f t="shared" si="145"/>
        <v>0.99809912978662718</v>
      </c>
      <c r="HW24" s="11">
        <f t="shared" si="146"/>
        <v>1.8996731123046404E-3</v>
      </c>
    </row>
    <row r="25" spans="2:231" x14ac:dyDescent="0.25">
      <c r="B25" s="16">
        <f>SQRT((Animation!$N27-B$7)^2+(Animation!$O27-C$7)^2)</f>
        <v>2.2360679774997898</v>
      </c>
      <c r="C25" s="10">
        <f>SQRT((Animation!$N27-B$8)^2+(Animation!$O27-C$8)^2)</f>
        <v>1.4142135623730951</v>
      </c>
      <c r="D25" s="10">
        <f>SQRT((Animation!$N27-B$9)^2+(Animation!$O27-C$9)^2)</f>
        <v>2.8284271247461903</v>
      </c>
      <c r="E25" s="19">
        <f t="shared" si="0"/>
        <v>3.2747176537766633E-2</v>
      </c>
      <c r="F25" s="10">
        <f t="shared" si="1"/>
        <v>0.14676266317373987</v>
      </c>
      <c r="G25" s="10">
        <f t="shared" si="2"/>
        <v>7.30688274528077E-3</v>
      </c>
      <c r="H25" s="10">
        <f t="shared" si="3"/>
        <v>0.18681672245678727</v>
      </c>
      <c r="I25" s="20">
        <f t="shared" si="4"/>
        <v>0.17529039214003667</v>
      </c>
      <c r="J25" s="11">
        <f t="shared" si="5"/>
        <v>0.78559703458927599</v>
      </c>
      <c r="K25" s="11">
        <f t="shared" si="6"/>
        <v>3.9112573270687429E-2</v>
      </c>
      <c r="L25" s="1"/>
      <c r="M25" s="16">
        <f>SQRT((Animation!$N27-M$7)^2+(Animation!$O27-N$7)^2)</f>
        <v>2.6074958146027707</v>
      </c>
      <c r="N25" s="10">
        <f>SQRT((Animation!$N27-M$8)^2+(Animation!$O27-N$8)^2)</f>
        <v>2.1900047490476422</v>
      </c>
      <c r="O25" s="10">
        <f>SQRT((Animation!$N27-M$9)^2+(Animation!$O27-N$9)^2)</f>
        <v>0.51628092995421937</v>
      </c>
      <c r="P25" s="19">
        <f t="shared" si="7"/>
        <v>1.3320437823337498E-2</v>
      </c>
      <c r="Q25" s="10">
        <f t="shared" si="8"/>
        <v>3.6261491767997277E-2</v>
      </c>
      <c r="R25" s="10">
        <f t="shared" si="9"/>
        <v>0.34916470551896039</v>
      </c>
      <c r="S25" s="10">
        <f t="shared" si="10"/>
        <v>0.39874663511029518</v>
      </c>
      <c r="T25" s="20">
        <f t="shared" si="11"/>
        <v>3.3405768602042252E-2</v>
      </c>
      <c r="U25" s="11">
        <f t="shared" si="12"/>
        <v>9.0938677784621752E-2</v>
      </c>
      <c r="V25" s="11">
        <f t="shared" si="13"/>
        <v>0.87565555361333602</v>
      </c>
      <c r="W25" s="1"/>
      <c r="X25" s="16">
        <f>SQRT((Animation!$N27-X$7)^2+(Animation!$O27-Y$7)^2)</f>
        <v>2.801476815146394</v>
      </c>
      <c r="Y25" s="10">
        <f>SQRT((Animation!$N27-X$8)^2+(Animation!$O27-Y$8)^2)</f>
        <v>3.4757296873491352</v>
      </c>
      <c r="Z25" s="10">
        <f>SQRT((Animation!$N27-X$9)^2+(Animation!$O27-Y$9)^2)</f>
        <v>0.52767130286452513</v>
      </c>
      <c r="AA25" s="19">
        <f t="shared" si="14"/>
        <v>7.8827795218663239E-3</v>
      </c>
      <c r="AB25" s="10">
        <f t="shared" si="15"/>
        <v>9.4977355687662327E-4</v>
      </c>
      <c r="AC25" s="10">
        <f t="shared" si="16"/>
        <v>0.34709490494828671</v>
      </c>
      <c r="AD25" s="10">
        <f t="shared" si="17"/>
        <v>0.35592745802702963</v>
      </c>
      <c r="AE25" s="20">
        <f t="shared" si="18"/>
        <v>2.2147152022386804E-2</v>
      </c>
      <c r="AF25" s="11">
        <f t="shared" si="19"/>
        <v>2.6684469979961368E-3</v>
      </c>
      <c r="AG25" s="11">
        <f t="shared" si="20"/>
        <v>0.97518440097961712</v>
      </c>
      <c r="AH25" s="26"/>
      <c r="AI25" s="16">
        <f>SQRT((Animation!$N27-AI$7)^2+(Animation!$O27-AJ$7)^2)</f>
        <v>2.8501101562936677</v>
      </c>
      <c r="AJ25" s="10">
        <f>SQRT((Animation!$N27-AI$8)^2+(Animation!$O27-AJ$8)^2)</f>
        <v>3.8936274717968429</v>
      </c>
      <c r="AK25" s="10">
        <f>SQRT((Animation!$N27-AI$9)^2+(Animation!$O27-AJ$9)^2)</f>
        <v>0.57944029079311565</v>
      </c>
      <c r="AL25" s="19">
        <f t="shared" si="21"/>
        <v>6.8706093138472908E-3</v>
      </c>
      <c r="AM25" s="10">
        <f t="shared" si="22"/>
        <v>2.0365035559350258E-4</v>
      </c>
      <c r="AN25" s="10">
        <f t="shared" si="23"/>
        <v>0.33728936793615905</v>
      </c>
      <c r="AO25" s="10">
        <f t="shared" si="24"/>
        <v>0.34436362760559985</v>
      </c>
      <c r="AP25" s="20">
        <f t="shared" si="25"/>
        <v>1.9951611503280509E-2</v>
      </c>
      <c r="AQ25" s="11">
        <f t="shared" si="26"/>
        <v>5.9138172346919176E-4</v>
      </c>
      <c r="AR25" s="11">
        <f t="shared" si="27"/>
        <v>0.97945700677325021</v>
      </c>
      <c r="AS25" s="26"/>
      <c r="AT25" s="16">
        <f>SQRT((Animation!$N27-AT$7)^2+(Animation!$O27-AU$7)^2)</f>
        <v>2.753014645407184</v>
      </c>
      <c r="AU25" s="10">
        <f>SQRT((Animation!$N27-AT$8)^2+(Animation!$O27-AU$8)^2)</f>
        <v>4.0369095475193566</v>
      </c>
      <c r="AV25" s="10">
        <f>SQRT((Animation!$N27-AT$9)^2+(Animation!$O27-AU$9)^2)</f>
        <v>0.72049113837623724</v>
      </c>
      <c r="AW25" s="19">
        <f t="shared" si="28"/>
        <v>9.0184450210118363E-3</v>
      </c>
      <c r="AX25" s="10">
        <f t="shared" si="29"/>
        <v>1.1538249783147349E-4</v>
      </c>
      <c r="AY25" s="10">
        <f t="shared" si="30"/>
        <v>0.3077423803500674</v>
      </c>
      <c r="AZ25" s="10">
        <f t="shared" si="31"/>
        <v>0.31687620786891069</v>
      </c>
      <c r="BA25" s="20">
        <f t="shared" si="32"/>
        <v>2.8460467517153257E-2</v>
      </c>
      <c r="BB25" s="11">
        <f t="shared" si="33"/>
        <v>3.6412483792158472E-4</v>
      </c>
      <c r="BC25" s="11">
        <f t="shared" si="34"/>
        <v>0.97117540764492527</v>
      </c>
      <c r="BD25" s="26"/>
      <c r="BE25" s="16">
        <f>SQRT((Animation!$N27-BE$7)^2+(Animation!$O27-BF$7)^2)</f>
        <v>2.6153078305539021</v>
      </c>
      <c r="BF25" s="10">
        <f>SQRT((Animation!$N27-BE$8)^2+(Animation!$O27-BF$8)^2)</f>
        <v>4.143372031252734</v>
      </c>
      <c r="BG25" s="10">
        <f>SQRT((Animation!$N27-BE$9)^2+(Animation!$O27-BF$9)^2)</f>
        <v>0.86821317599092385</v>
      </c>
      <c r="BH25" s="19">
        <f t="shared" si="35"/>
        <v>1.3051449775407445E-2</v>
      </c>
      <c r="BI25" s="10">
        <f t="shared" si="36"/>
        <v>7.4649671995391309E-5</v>
      </c>
      <c r="BJ25" s="10">
        <f t="shared" si="37"/>
        <v>0.27366909287227126</v>
      </c>
      <c r="BK25" s="10">
        <f t="shared" si="38"/>
        <v>0.2867951923196741</v>
      </c>
      <c r="BL25" s="20">
        <f t="shared" si="39"/>
        <v>4.5507909912449802E-2</v>
      </c>
      <c r="BM25" s="11">
        <f t="shared" si="40"/>
        <v>2.6028913313227238E-4</v>
      </c>
      <c r="BN25" s="11">
        <f t="shared" si="41"/>
        <v>0.95423180095441795</v>
      </c>
      <c r="BO25" s="26"/>
      <c r="BP25" s="16">
        <f>SQRT((Animation!$N27-BP$7)^2+(Animation!$O27-BQ$7)^2)</f>
        <v>2.5580168484511789</v>
      </c>
      <c r="BQ25" s="10">
        <f>SQRT((Animation!$N27-BP$8)^2+(Animation!$O27-BQ$8)^2)</f>
        <v>4.2192534070929408</v>
      </c>
      <c r="BR25" s="10">
        <f>SQRT((Animation!$N27-BP$9)^2+(Animation!$O27-BQ$9)^2)</f>
        <v>1.01307065920085</v>
      </c>
      <c r="BS25" s="19">
        <f t="shared" si="42"/>
        <v>1.513623665302675E-2</v>
      </c>
      <c r="BT25" s="10">
        <f t="shared" si="43"/>
        <v>5.4354226124617127E-5</v>
      </c>
      <c r="BU25" s="10">
        <f t="shared" si="44"/>
        <v>0.23880818715767954</v>
      </c>
      <c r="BV25" s="10">
        <f t="shared" si="45"/>
        <v>0.25399877803683091</v>
      </c>
      <c r="BW25" s="20">
        <f t="shared" si="46"/>
        <v>5.9591769574702171E-2</v>
      </c>
      <c r="BX25" s="11">
        <f t="shared" si="47"/>
        <v>2.1399404573802923E-4</v>
      </c>
      <c r="BY25" s="11">
        <f t="shared" si="48"/>
        <v>0.94019423637955979</v>
      </c>
      <c r="BZ25" s="26"/>
      <c r="CA25" s="16">
        <f>SQRT((Animation!$N27-CA$7)^2+(Animation!$O27-CB$7)^2)</f>
        <v>2.5254786404031364</v>
      </c>
      <c r="CB25" s="10">
        <f>SQRT((Animation!$N27-CA$8)^2+(Animation!$O27-CB$8)^2)</f>
        <v>4.2587521118789535</v>
      </c>
      <c r="CC25" s="10">
        <f>SQRT((Animation!$N27-CA$9)^2+(Animation!$O27-CB$9)^2)</f>
        <v>1.1605484420649208</v>
      </c>
      <c r="CD25" s="19">
        <f t="shared" si="49"/>
        <v>1.6441285240383612E-2</v>
      </c>
      <c r="CE25" s="10">
        <f t="shared" si="50"/>
        <v>4.5974516301982901E-5</v>
      </c>
      <c r="CF25" s="10">
        <f t="shared" si="51"/>
        <v>0.20344188823182169</v>
      </c>
      <c r="CG25" s="10">
        <f t="shared" si="52"/>
        <v>0.2199291479885073</v>
      </c>
      <c r="CH25" s="20">
        <f t="shared" si="53"/>
        <v>7.4757190625968209E-2</v>
      </c>
      <c r="CI25" s="11">
        <f t="shared" si="54"/>
        <v>2.0904239716504228E-4</v>
      </c>
      <c r="CJ25" s="11">
        <f t="shared" si="55"/>
        <v>0.92503376697686668</v>
      </c>
      <c r="CK25" s="26"/>
      <c r="CL25" s="16">
        <f>SQRT((Animation!$N27-CL$7)^2+(Animation!$O27-CM$7)^2)</f>
        <v>2.496458649210799</v>
      </c>
      <c r="CM25" s="10">
        <f>SQRT((Animation!$N27-CL$8)^2+(Animation!$O27-CM$8)^2)</f>
        <v>4.2982404533880194</v>
      </c>
      <c r="CN25" s="10">
        <f>SQRT((Animation!$N27-CL$9)^2+(Animation!$O27-CM$9)^2)</f>
        <v>1.3552178073608638</v>
      </c>
      <c r="CO25" s="19">
        <f t="shared" si="56"/>
        <v>1.7684063241700448E-2</v>
      </c>
      <c r="CP25" s="10">
        <f t="shared" si="57"/>
        <v>3.8827801641417323E-5</v>
      </c>
      <c r="CQ25" s="10">
        <f t="shared" si="58"/>
        <v>0.15925538252297872</v>
      </c>
      <c r="CR25" s="10">
        <f t="shared" si="59"/>
        <v>0.17697827356632059</v>
      </c>
      <c r="CS25" s="20">
        <f t="shared" si="60"/>
        <v>9.992222709231903E-2</v>
      </c>
      <c r="CT25" s="11">
        <f t="shared" si="61"/>
        <v>2.1939304107216893E-4</v>
      </c>
      <c r="CU25" s="11">
        <f t="shared" si="62"/>
        <v>0.89985837986660877</v>
      </c>
      <c r="CV25" s="26"/>
      <c r="CW25" s="16">
        <f>SQRT((Animation!$N27-CW$7)^2+(Animation!$O27-CX$7)^2)</f>
        <v>2.4606451672744716</v>
      </c>
      <c r="CX25" s="10">
        <f>SQRT((Animation!$N27-CW$8)^2+(Animation!$O27-CX$8)^2)</f>
        <v>4.3924083595904779</v>
      </c>
      <c r="CY25" s="10">
        <f>SQRT((Animation!$N27-CW$9)^2+(Animation!$O27-CX$9)^2)</f>
        <v>1.697523594285812</v>
      </c>
      <c r="CZ25" s="19">
        <f t="shared" si="63"/>
        <v>1.9325576505976834E-2</v>
      </c>
      <c r="DA25" s="10">
        <f t="shared" si="64"/>
        <v>2.5788958264066081E-5</v>
      </c>
      <c r="DB25" s="10">
        <f t="shared" si="65"/>
        <v>9.4445558616926287E-2</v>
      </c>
      <c r="DC25" s="10">
        <f t="shared" si="66"/>
        <v>0.11379692408116719</v>
      </c>
      <c r="DD25" s="20">
        <f t="shared" si="67"/>
        <v>0.1698251219179932</v>
      </c>
      <c r="DE25" s="11">
        <f t="shared" si="68"/>
        <v>2.2662263037682599E-4</v>
      </c>
      <c r="DF25" s="11">
        <f t="shared" si="69"/>
        <v>0.82994825545162998</v>
      </c>
      <c r="DG25" s="26"/>
      <c r="DH25" s="16">
        <f>SQRT((Animation!$N27-DH$7)^2+(Animation!$O27-DI$7)^2)</f>
        <v>2.3902496382703267</v>
      </c>
      <c r="DI25" s="10">
        <f>SQRT((Animation!$N27-DH$8)^2+(Animation!$O27-DI$8)^2)</f>
        <v>4.5884602877531169</v>
      </c>
      <c r="DJ25" s="10">
        <f>SQRT((Animation!$N27-DH$9)^2+(Animation!$O27-DI$9)^2)</f>
        <v>2.1006087888509524</v>
      </c>
      <c r="DK25" s="19">
        <f t="shared" si="70"/>
        <v>2.2923671787114446E-2</v>
      </c>
      <c r="DL25" s="10">
        <f t="shared" si="71"/>
        <v>1.0692987134632541E-5</v>
      </c>
      <c r="DM25" s="10">
        <f t="shared" si="72"/>
        <v>4.3927392651363958E-2</v>
      </c>
      <c r="DN25" s="10">
        <f t="shared" si="73"/>
        <v>6.6861757425613039E-2</v>
      </c>
      <c r="DO25" s="20">
        <f t="shared" si="74"/>
        <v>0.34285176863049327</v>
      </c>
      <c r="DP25" s="11">
        <f t="shared" si="75"/>
        <v>1.5992680339772718E-4</v>
      </c>
      <c r="DQ25" s="11">
        <f t="shared" si="76"/>
        <v>0.65698830456610902</v>
      </c>
      <c r="DR25" s="26"/>
      <c r="DS25" s="16">
        <f>SQRT((Animation!$N27-DS$7)^2+(Animation!$O27-DT$7)^2)</f>
        <v>2.2559512070944567</v>
      </c>
      <c r="DT25" s="10">
        <f>SQRT((Animation!$N27-DS$8)^2+(Animation!$O27-DT$8)^2)</f>
        <v>4.639025511889157</v>
      </c>
      <c r="DU25" s="10">
        <f>SQRT((Animation!$N27-DS$9)^2+(Animation!$O27-DT$9)^2)</f>
        <v>2.2712395255507438</v>
      </c>
      <c r="DV25" s="19">
        <f t="shared" si="77"/>
        <v>3.1316929232670647E-2</v>
      </c>
      <c r="DW25" s="10">
        <f t="shared" si="78"/>
        <v>8.4679900205335476E-6</v>
      </c>
      <c r="DX25" s="10">
        <f t="shared" si="79"/>
        <v>3.0251696167732756E-2</v>
      </c>
      <c r="DY25" s="10">
        <f t="shared" si="80"/>
        <v>6.1577093390423943E-2</v>
      </c>
      <c r="DZ25" s="20">
        <f t="shared" si="81"/>
        <v>0.50858082946703109</v>
      </c>
      <c r="EA25" s="11">
        <f t="shared" si="82"/>
        <v>1.3751850817061192E-4</v>
      </c>
      <c r="EB25" s="11">
        <f t="shared" si="83"/>
        <v>0.49128165202479818</v>
      </c>
      <c r="EC25" s="26"/>
      <c r="ED25" s="16">
        <f>SQRT((Animation!$N27-ED$7)^2+(Animation!$O27-EE$7)^2)</f>
        <v>2.1415881719173711</v>
      </c>
      <c r="EE25" s="10">
        <f>SQRT((Animation!$N27-ED$8)^2+(Animation!$O27-EE$8)^2)</f>
        <v>4.641054870790688</v>
      </c>
      <c r="EF25" s="10">
        <f>SQRT((Animation!$N27-ED$9)^2+(Animation!$O27-EE$9)^2)</f>
        <v>2.3876180138974248</v>
      </c>
      <c r="EG25" s="19">
        <f t="shared" si="84"/>
        <v>4.0270403582562432E-2</v>
      </c>
      <c r="EH25" s="10">
        <f t="shared" si="85"/>
        <v>8.3886270673288958E-6</v>
      </c>
      <c r="EI25" s="10">
        <f t="shared" si="86"/>
        <v>2.3068241751151439E-2</v>
      </c>
      <c r="EJ25" s="10">
        <f t="shared" si="87"/>
        <v>6.3347033960781202E-2</v>
      </c>
      <c r="EK25" s="20">
        <f t="shared" si="88"/>
        <v>0.63571095700383151</v>
      </c>
      <c r="EL25" s="11">
        <f t="shared" si="89"/>
        <v>1.3242335975070877E-4</v>
      </c>
      <c r="EM25" s="11">
        <f t="shared" si="90"/>
        <v>0.36415661963641777</v>
      </c>
      <c r="EN25" s="26"/>
      <c r="EO25" s="16">
        <f>SQRT((Animation!$N27-EO$7)^2+(Animation!$O27-EP$7)^2)</f>
        <v>2.0581519895192408</v>
      </c>
      <c r="EP25" s="10">
        <f>SQRT((Animation!$N27-EO$8)^2+(Animation!$O27-EP$8)^2)</f>
        <v>4.6412103057486407</v>
      </c>
      <c r="EQ25" s="10">
        <f>SQRT((Animation!$N27-EO$9)^2+(Animation!$O27-EP$9)^2)</f>
        <v>2.4848835828428824</v>
      </c>
      <c r="ER25" s="19">
        <f t="shared" si="91"/>
        <v>4.7981808034893367E-2</v>
      </c>
      <c r="ES25" s="10">
        <f t="shared" si="92"/>
        <v>8.382577742244452E-6</v>
      </c>
      <c r="ET25" s="10">
        <f t="shared" si="93"/>
        <v>1.8201309383375858E-2</v>
      </c>
      <c r="EU25" s="10">
        <f t="shared" si="94"/>
        <v>6.6191499996011469E-2</v>
      </c>
      <c r="EV25" s="20">
        <f t="shared" si="95"/>
        <v>0.72489380113435453</v>
      </c>
      <c r="EW25" s="11">
        <f t="shared" si="96"/>
        <v>1.2664130202140101E-4</v>
      </c>
      <c r="EX25" s="11">
        <f t="shared" si="97"/>
        <v>0.27497955756362408</v>
      </c>
      <c r="EY25" s="26"/>
      <c r="EZ25" s="16">
        <f>SQRT((Animation!$N27-EZ$7)^2+(Animation!$O27-FA$7)^2)</f>
        <v>1.9999376500135906</v>
      </c>
      <c r="FA25" s="10">
        <f>SQRT((Animation!$N27-EZ$8)^2+(Animation!$O27-FA$8)^2)</f>
        <v>4.6412119068320745</v>
      </c>
      <c r="FB25" s="10">
        <f>SQRT((Animation!$N27-EZ$9)^2+(Animation!$O27-FA$9)^2)</f>
        <v>2.5599704800402656</v>
      </c>
      <c r="FC25" s="19">
        <f t="shared" si="98"/>
        <v>5.399769950008558E-2</v>
      </c>
      <c r="FD25" s="10">
        <f t="shared" si="99"/>
        <v>8.3825154518239039E-6</v>
      </c>
      <c r="FE25" s="10">
        <f t="shared" si="100"/>
        <v>1.5060754435544074E-2</v>
      </c>
      <c r="FF25" s="10">
        <f t="shared" si="101"/>
        <v>6.906683645108147E-2</v>
      </c>
      <c r="FG25" s="20">
        <f t="shared" si="102"/>
        <v>0.78181805153810646</v>
      </c>
      <c r="FH25" s="11">
        <f t="shared" si="103"/>
        <v>1.2136816861100995E-4</v>
      </c>
      <c r="FI25" s="11">
        <f t="shared" si="104"/>
        <v>0.21806058029328268</v>
      </c>
      <c r="FJ25" s="26"/>
      <c r="FK25" s="16">
        <f>SQRT((Animation!$N27-FK$7)^2+(Animation!$O27-FL$7)^2)</f>
        <v>1.9614873007554643</v>
      </c>
      <c r="FL25" s="10">
        <f>SQRT((Animation!$N27-FK$8)^2+(Animation!$O27-FL$8)^2)</f>
        <v>4.6411519248122497</v>
      </c>
      <c r="FM25" s="10">
        <f>SQRT((Animation!$N27-FK$9)^2+(Animation!$O27-FL$9)^2)</f>
        <v>2.6123891282732057</v>
      </c>
      <c r="FN25" s="19">
        <f t="shared" si="105"/>
        <v>5.8270766203677313E-2</v>
      </c>
      <c r="FO25" s="10">
        <f t="shared" si="106"/>
        <v>8.3848493639074571E-6</v>
      </c>
      <c r="FP25" s="10">
        <f t="shared" si="107"/>
        <v>1.3151400659966471E-2</v>
      </c>
      <c r="FQ25" s="10">
        <f t="shared" si="108"/>
        <v>7.1430551713007689E-2</v>
      </c>
      <c r="FR25" s="20">
        <f t="shared" si="109"/>
        <v>0.81576811051098252</v>
      </c>
      <c r="FS25" s="11">
        <f t="shared" si="110"/>
        <v>1.1738463672513612E-4</v>
      </c>
      <c r="FT25" s="11">
        <f t="shared" si="111"/>
        <v>0.1841145048522923</v>
      </c>
      <c r="FU25" s="26"/>
      <c r="FV25" s="16">
        <f>SQRT((Animation!$N27-FV$7)^2+(Animation!$O27-FW$7)^2)</f>
        <v>1.9372424096411174</v>
      </c>
      <c r="FW25" s="10">
        <f>SQRT((Animation!$N27-FV$8)^2+(Animation!$O27-FW$8)^2)</f>
        <v>4.6410778569869562</v>
      </c>
      <c r="FX25" s="10">
        <f>SQRT((Animation!$N27-FV$9)^2+(Animation!$O27-FW$9)^2)</f>
        <v>2.6461961091824553</v>
      </c>
      <c r="FY25" s="19">
        <f t="shared" si="112"/>
        <v>6.1090884727653165E-2</v>
      </c>
      <c r="FZ25" s="10">
        <f t="shared" si="113"/>
        <v>8.3877322124476185E-6</v>
      </c>
      <c r="GA25" s="10">
        <f t="shared" si="114"/>
        <v>1.2032842924592741E-2</v>
      </c>
      <c r="GB25" s="10">
        <f t="shared" si="115"/>
        <v>7.3132115384458352E-2</v>
      </c>
      <c r="GC25" s="20">
        <f t="shared" si="116"/>
        <v>0.83534961906265159</v>
      </c>
      <c r="GD25" s="11">
        <f t="shared" si="117"/>
        <v>1.1469287013445443E-4</v>
      </c>
      <c r="GE25" s="11">
        <f t="shared" si="118"/>
        <v>0.164535688067214</v>
      </c>
      <c r="GF25" s="26"/>
      <c r="GG25" s="16">
        <f>SQRT((Animation!$N27-GG$7)^2+(Animation!$O27-GH$7)^2)</f>
        <v>1.9224481536448703</v>
      </c>
      <c r="GH25" s="10">
        <f>SQRT((Animation!$N27-GG$8)^2+(Animation!$O27-GH$8)^2)</f>
        <v>4.6410155292851591</v>
      </c>
      <c r="GI25" s="10">
        <f>SQRT((Animation!$N27-GG$9)^2+(Animation!$O27-GH$9)^2)</f>
        <v>2.666942246391041</v>
      </c>
      <c r="GJ25" s="19">
        <f t="shared" si="119"/>
        <v>6.2860205092509849E-2</v>
      </c>
      <c r="GK25" s="10">
        <f t="shared" si="120"/>
        <v>8.3901588472550917E-6</v>
      </c>
      <c r="GL25" s="10">
        <f t="shared" si="121"/>
        <v>1.1387613993986231E-2</v>
      </c>
      <c r="GM25" s="10">
        <f t="shared" si="122"/>
        <v>7.4256209245343333E-2</v>
      </c>
      <c r="GN25" s="20">
        <f t="shared" si="123"/>
        <v>0.84653129659257231</v>
      </c>
      <c r="GO25" s="11">
        <f t="shared" si="124"/>
        <v>1.1298932348585038E-4</v>
      </c>
      <c r="GP25" s="11">
        <f t="shared" si="125"/>
        <v>0.15335571408394186</v>
      </c>
      <c r="GQ25" s="26"/>
      <c r="GR25" s="16">
        <f>SQRT((Animation!$N27-GR$7)^2+(Animation!$O27-GS$7)^2)</f>
        <v>1.9136112798530542</v>
      </c>
      <c r="GS25" s="10">
        <f>SQRT((Animation!$N27-GR$8)^2+(Animation!$O27-GS$8)^2)</f>
        <v>4.6409714418361929</v>
      </c>
      <c r="GT25" s="10">
        <f>SQRT((Animation!$N27-GR$9)^2+(Animation!$O27-GS$9)^2)</f>
        <v>2.6793276688310095</v>
      </c>
      <c r="GU25" s="19">
        <f t="shared" si="126"/>
        <v>6.3934727530319813E-2</v>
      </c>
      <c r="GV25" s="10">
        <f t="shared" si="127"/>
        <v>8.3918757296333659E-6</v>
      </c>
      <c r="GW25" s="10">
        <f t="shared" si="128"/>
        <v>1.1016766804944119E-2</v>
      </c>
      <c r="GX25" s="10">
        <f t="shared" si="129"/>
        <v>7.4959886210993573E-2</v>
      </c>
      <c r="GY25" s="20">
        <f t="shared" si="130"/>
        <v>0.85291921802494919</v>
      </c>
      <c r="GZ25" s="11">
        <f t="shared" si="131"/>
        <v>1.1195155374185478E-4</v>
      </c>
      <c r="HA25" s="11">
        <f t="shared" si="132"/>
        <v>0.14696883042130882</v>
      </c>
      <c r="HB25" s="26"/>
      <c r="HC25" s="16">
        <f>SQRT((Animation!$N27-HC$7)^2+(Animation!$O27-HD$7)^2)</f>
        <v>1.9084021413928767</v>
      </c>
      <c r="HD25" s="10">
        <f>SQRT((Animation!$N27-HC$8)^2+(Animation!$O27-HD$8)^2)</f>
        <v>4.6409429532461237</v>
      </c>
      <c r="HE25" s="10">
        <f>SQRT((Animation!$N27-HC$9)^2+(Animation!$O27-HD$9)^2)</f>
        <v>2.686614877758025</v>
      </c>
      <c r="HF25" s="19">
        <f t="shared" si="133"/>
        <v>6.4574356846476846E-2</v>
      </c>
      <c r="HG25" s="10">
        <f t="shared" si="134"/>
        <v>8.3929853291871727E-6</v>
      </c>
      <c r="HH25" s="10">
        <f t="shared" si="135"/>
        <v>1.080346585427951E-2</v>
      </c>
      <c r="HI25" s="10">
        <f t="shared" si="136"/>
        <v>7.5386215686085542E-2</v>
      </c>
      <c r="HJ25" s="20">
        <f t="shared" si="137"/>
        <v>0.85658042732068984</v>
      </c>
      <c r="HK25" s="11">
        <f t="shared" si="138"/>
        <v>1.1133315623822079E-4</v>
      </c>
      <c r="HL25" s="11">
        <f t="shared" si="139"/>
        <v>0.14330823952307195</v>
      </c>
      <c r="HM25" s="26"/>
      <c r="HN25" s="16">
        <f>SQRT((Animation!$N27-HN$7)^2+(Animation!$O27-HO$7)^2)</f>
        <v>1.9053557212701593</v>
      </c>
      <c r="HO25" s="10">
        <f>SQRT((Animation!$N27-HN$8)^2+(Animation!$O27-HO$8)^2)</f>
        <v>4.640925421920981</v>
      </c>
      <c r="HP25" s="10">
        <f>SQRT((Animation!$N27-HN$9)^2+(Animation!$O27-HO$9)^2)</f>
        <v>2.6908695068706514</v>
      </c>
      <c r="HQ25" s="19">
        <f t="shared" si="140"/>
        <v>6.4950570937196195E-2</v>
      </c>
      <c r="HR25" s="10">
        <f t="shared" si="141"/>
        <v>8.3936682247420133E-6</v>
      </c>
      <c r="HS25" s="10">
        <f t="shared" si="142"/>
        <v>1.0680582724624181E-2</v>
      </c>
      <c r="HT25" s="10">
        <f t="shared" si="143"/>
        <v>7.5639547330045132E-2</v>
      </c>
      <c r="HU25" s="20">
        <f t="shared" si="144"/>
        <v>0.858685346883308</v>
      </c>
      <c r="HV25" s="11">
        <f t="shared" si="145"/>
        <v>1.109693080012382E-4</v>
      </c>
      <c r="HW25" s="11">
        <f t="shared" si="146"/>
        <v>0.14120368380869061</v>
      </c>
    </row>
    <row r="26" spans="2:231" x14ac:dyDescent="0.25">
      <c r="B26" s="16">
        <f>SQRT((Animation!$N28-B$7)^2+(Animation!$O28-C$7)^2)</f>
        <v>3.1622776601683795</v>
      </c>
      <c r="C26" s="10">
        <f>SQRT((Animation!$N28-B$8)^2+(Animation!$O28-C$8)^2)</f>
        <v>3.6055512754639891</v>
      </c>
      <c r="D26" s="10">
        <f>SQRT((Animation!$N28-B$9)^2+(Animation!$O28-C$9)^2)</f>
        <v>7.810249675906654</v>
      </c>
      <c r="E26" s="19">
        <f t="shared" si="0"/>
        <v>2.6880519410391441E-3</v>
      </c>
      <c r="F26" s="10">
        <f t="shared" si="1"/>
        <v>5.9978546009136293E-4</v>
      </c>
      <c r="G26" s="10">
        <f t="shared" si="2"/>
        <v>2.2642708095472425E-14</v>
      </c>
      <c r="H26" s="10">
        <f t="shared" si="3"/>
        <v>3.2878374011531498E-3</v>
      </c>
      <c r="I26" s="20">
        <f t="shared" si="4"/>
        <v>0.81757447618801293</v>
      </c>
      <c r="J26" s="11">
        <f t="shared" si="5"/>
        <v>0.18242552380510027</v>
      </c>
      <c r="K26" s="11">
        <f t="shared" si="6"/>
        <v>6.8868089667484473E-12</v>
      </c>
      <c r="L26" s="1"/>
      <c r="M26" s="16">
        <f>SQRT((Animation!$N28-M$7)^2+(Animation!$O28-N$7)^2)</f>
        <v>2.6404744289852342</v>
      </c>
      <c r="N26" s="10">
        <f>SQRT((Animation!$N28-M$8)^2+(Animation!$O28-N$8)^2)</f>
        <v>3.60536814212429</v>
      </c>
      <c r="O26" s="10">
        <f>SQRT((Animation!$N28-M$9)^2+(Animation!$O28-N$9)^2)</f>
        <v>4.8223689402332921</v>
      </c>
      <c r="P26" s="19">
        <f t="shared" si="7"/>
        <v>1.2216214671194901E-2</v>
      </c>
      <c r="Q26" s="10">
        <f t="shared" si="8"/>
        <v>6.0018161713442037E-4</v>
      </c>
      <c r="R26" s="10">
        <f t="shared" si="9"/>
        <v>3.5571189264767352E-6</v>
      </c>
      <c r="S26" s="10">
        <f t="shared" si="10"/>
        <v>1.2819953407255799E-2</v>
      </c>
      <c r="T26" s="20">
        <f t="shared" si="11"/>
        <v>0.95290632369075579</v>
      </c>
      <c r="U26" s="11">
        <f t="shared" si="12"/>
        <v>4.681620892590229E-2</v>
      </c>
      <c r="V26" s="11">
        <f t="shared" si="13"/>
        <v>2.7746738334193067E-4</v>
      </c>
      <c r="W26" s="1"/>
      <c r="X26" s="16">
        <f>SQRT((Animation!$N28-X$7)^2+(Animation!$O28-Y$7)^2)</f>
        <v>2.9268512488695575</v>
      </c>
      <c r="Y26" s="10">
        <f>SQRT((Animation!$N28-X$8)^2+(Animation!$O28-Y$8)^2)</f>
        <v>3.5322072723372404</v>
      </c>
      <c r="Z26" s="10">
        <f>SQRT((Animation!$N28-X$9)^2+(Animation!$O28-Y$9)^2)</f>
        <v>4.5315173982039987</v>
      </c>
      <c r="AA26" s="19">
        <f t="shared" si="14"/>
        <v>5.5046193924933864E-3</v>
      </c>
      <c r="AB26" s="10">
        <f t="shared" si="15"/>
        <v>7.7924688202135237E-4</v>
      </c>
      <c r="AC26" s="10">
        <f t="shared" si="16"/>
        <v>1.38633277125863E-5</v>
      </c>
      <c r="AD26" s="10">
        <f t="shared" si="17"/>
        <v>6.2977296022273255E-3</v>
      </c>
      <c r="AE26" s="20">
        <f t="shared" si="18"/>
        <v>0.87406410566540693</v>
      </c>
      <c r="AF26" s="11">
        <f t="shared" si="19"/>
        <v>0.12373457281267763</v>
      </c>
      <c r="AG26" s="11">
        <f t="shared" si="20"/>
        <v>2.201321521915333E-3</v>
      </c>
      <c r="AH26" s="26"/>
      <c r="AI26" s="16">
        <f>SQRT((Animation!$N28-AI$7)^2+(Animation!$O28-AJ$7)^2)</f>
        <v>3.2239686037485433</v>
      </c>
      <c r="AJ26" s="10">
        <f>SQRT((Animation!$N28-AI$8)^2+(Animation!$O28-AJ$8)^2)</f>
        <v>3.3470161182894218</v>
      </c>
      <c r="AK26" s="10">
        <f>SQRT((Animation!$N28-AI$9)^2+(Animation!$O28-AJ$9)^2)</f>
        <v>4.5136984351684095</v>
      </c>
      <c r="AL26" s="19">
        <f t="shared" si="21"/>
        <v>2.2074322601564403E-3</v>
      </c>
      <c r="AM26" s="10">
        <f t="shared" si="22"/>
        <v>1.4733788457616983E-3</v>
      </c>
      <c r="AN26" s="10">
        <f t="shared" si="23"/>
        <v>1.5026799539581314E-5</v>
      </c>
      <c r="AO26" s="10">
        <f t="shared" si="24"/>
        <v>3.6958379054577201E-3</v>
      </c>
      <c r="AP26" s="20">
        <f t="shared" si="25"/>
        <v>0.5972751826850089</v>
      </c>
      <c r="AQ26" s="11">
        <f t="shared" si="26"/>
        <v>0.39865894648299627</v>
      </c>
      <c r="AR26" s="11">
        <f t="shared" si="27"/>
        <v>4.0658708319948039E-3</v>
      </c>
      <c r="AS26" s="26"/>
      <c r="AT26" s="16">
        <f>SQRT((Animation!$N28-AT$7)^2+(Animation!$O28-AU$7)^2)</f>
        <v>3.5538252494462101</v>
      </c>
      <c r="AU26" s="10">
        <f>SQRT((Animation!$N28-AT$8)^2+(Animation!$O28-AU$8)^2)</f>
        <v>3.0575149837759192</v>
      </c>
      <c r="AV26" s="10">
        <f>SQRT((Animation!$N28-AT$9)^2+(Animation!$O28-AU$9)^2)</f>
        <v>4.5075885362920252</v>
      </c>
      <c r="AW26" s="19">
        <f t="shared" si="28"/>
        <v>7.2179060276667006E-4</v>
      </c>
      <c r="AX26" s="10">
        <f t="shared" si="29"/>
        <v>3.7233276863714243E-3</v>
      </c>
      <c r="AY26" s="10">
        <f t="shared" si="30"/>
        <v>1.5446691198585371E-5</v>
      </c>
      <c r="AZ26" s="10">
        <f t="shared" si="31"/>
        <v>4.4605649803366792E-3</v>
      </c>
      <c r="BA26" s="20">
        <f t="shared" si="32"/>
        <v>0.16181595962585663</v>
      </c>
      <c r="BB26" s="11">
        <f t="shared" si="33"/>
        <v>0.83472109537352623</v>
      </c>
      <c r="BC26" s="11">
        <f t="shared" si="34"/>
        <v>3.4629450006172691E-3</v>
      </c>
      <c r="BD26" s="26"/>
      <c r="BE26" s="16">
        <f>SQRT((Animation!$N28-BE$7)^2+(Animation!$O28-BF$7)^2)</f>
        <v>4.1364512362807861</v>
      </c>
      <c r="BF26" s="10">
        <f>SQRT((Animation!$N28-BE$8)^2+(Animation!$O28-BF$8)^2)</f>
        <v>2.6847529121150782</v>
      </c>
      <c r="BG26" s="10">
        <f>SQRT((Animation!$N28-BE$9)^2+(Animation!$O28-BF$9)^2)</f>
        <v>4.5243686133326486</v>
      </c>
      <c r="BH26" s="19">
        <f t="shared" si="35"/>
        <v>7.6819430518352343E-5</v>
      </c>
      <c r="BI26" s="10">
        <f t="shared" si="36"/>
        <v>1.0857625522061929E-2</v>
      </c>
      <c r="BJ26" s="10">
        <f t="shared" si="37"/>
        <v>1.4319415592280741E-5</v>
      </c>
      <c r="BK26" s="10">
        <f t="shared" si="38"/>
        <v>1.0948764368172563E-2</v>
      </c>
      <c r="BL26" s="20">
        <f t="shared" si="39"/>
        <v>7.0162648436988984E-3</v>
      </c>
      <c r="BM26" s="11">
        <f t="shared" si="40"/>
        <v>0.99167587838719318</v>
      </c>
      <c r="BN26" s="11">
        <f t="shared" si="41"/>
        <v>1.3078567691077972E-3</v>
      </c>
      <c r="BO26" s="26"/>
      <c r="BP26" s="16">
        <f>SQRT((Animation!$N28-BP$7)^2+(Animation!$O28-BQ$7)^2)</f>
        <v>4.3664094713431947</v>
      </c>
      <c r="BQ26" s="10">
        <f>SQRT((Animation!$N28-BP$8)^2+(Animation!$O28-BQ$8)^2)</f>
        <v>2.5219224628581074</v>
      </c>
      <c r="BR26" s="10">
        <f>SQRT((Animation!$N28-BP$9)^2+(Animation!$O28-BQ$9)^2)</f>
        <v>4.5434760300789225</v>
      </c>
      <c r="BS26" s="19">
        <f t="shared" si="42"/>
        <v>2.8898976782501468E-5</v>
      </c>
      <c r="BT26" s="10">
        <f t="shared" si="43"/>
        <v>1.6589505413700054E-2</v>
      </c>
      <c r="BU26" s="10">
        <f t="shared" si="44"/>
        <v>1.3131117653392466E-5</v>
      </c>
      <c r="BV26" s="10">
        <f t="shared" si="45"/>
        <v>1.6631535508135949E-2</v>
      </c>
      <c r="BW26" s="20">
        <f t="shared" si="46"/>
        <v>1.7376012436352874E-3</v>
      </c>
      <c r="BX26" s="11">
        <f t="shared" si="47"/>
        <v>0.99747286746823016</v>
      </c>
      <c r="BY26" s="11">
        <f t="shared" si="48"/>
        <v>7.8953128813445271E-4</v>
      </c>
      <c r="BZ26" s="26"/>
      <c r="CA26" s="16">
        <f>SQRT((Animation!$N28-CA$7)^2+(Animation!$O28-CB$7)^2)</f>
        <v>4.3698523753431218</v>
      </c>
      <c r="CB26" s="10">
        <f>SQRT((Animation!$N28-CA$8)^2+(Animation!$O28-CB$8)^2)</f>
        <v>2.4345928965965791</v>
      </c>
      <c r="CC26" s="10">
        <f>SQRT((Animation!$N28-CA$9)^2+(Animation!$O28-CB$9)^2)</f>
        <v>4.5539689341542928</v>
      </c>
      <c r="CD26" s="19">
        <f t="shared" si="49"/>
        <v>2.8467615234140099E-5</v>
      </c>
      <c r="CE26" s="10">
        <f t="shared" si="50"/>
        <v>2.059803040255908E-2</v>
      </c>
      <c r="CF26" s="10">
        <f t="shared" si="51"/>
        <v>1.2519100250811801E-5</v>
      </c>
      <c r="CG26" s="10">
        <f t="shared" si="52"/>
        <v>2.0639017118044028E-2</v>
      </c>
      <c r="CH26" s="20">
        <f t="shared" si="53"/>
        <v>1.3793106072503703E-3</v>
      </c>
      <c r="CI26" s="11">
        <f t="shared" si="54"/>
        <v>0.99801411495273606</v>
      </c>
      <c r="CJ26" s="11">
        <f t="shared" si="55"/>
        <v>6.0657444001375213E-4</v>
      </c>
      <c r="CK26" s="26"/>
      <c r="CL26" s="16">
        <f>SQRT((Animation!$N28-CL$7)^2+(Animation!$O28-CM$7)^2)</f>
        <v>4.3665681504569722</v>
      </c>
      <c r="CM26" s="10">
        <f>SQRT((Animation!$N28-CL$8)^2+(Animation!$O28-CM$8)^2)</f>
        <v>2.3003983024292309</v>
      </c>
      <c r="CN26" s="10">
        <f>SQRT((Animation!$N28-CL$9)^2+(Animation!$O28-CM$9)^2)</f>
        <v>4.5687435416739852</v>
      </c>
      <c r="CO26" s="19">
        <f t="shared" si="56"/>
        <v>2.887896046700488E-5</v>
      </c>
      <c r="CP26" s="10">
        <f t="shared" si="57"/>
        <v>2.8301097105252367E-2</v>
      </c>
      <c r="CQ26" s="10">
        <f t="shared" si="58"/>
        <v>1.1703211016039946E-5</v>
      </c>
      <c r="CR26" s="10">
        <f t="shared" si="59"/>
        <v>2.834167927673541E-2</v>
      </c>
      <c r="CS26" s="20">
        <f t="shared" si="60"/>
        <v>1.018957281430762E-3</v>
      </c>
      <c r="CT26" s="11">
        <f t="shared" si="61"/>
        <v>0.99856810984674593</v>
      </c>
      <c r="CU26" s="11">
        <f t="shared" si="62"/>
        <v>4.1293287182339475E-4</v>
      </c>
      <c r="CV26" s="26"/>
      <c r="CW26" s="16">
        <f>SQRT((Animation!$N28-CW$7)^2+(Animation!$O28-CX$7)^2)</f>
        <v>4.3636005351680662</v>
      </c>
      <c r="CX26" s="10">
        <f>SQRT((Animation!$N28-CW$8)^2+(Animation!$O28-CX$8)^2)</f>
        <v>1.9853393126616001</v>
      </c>
      <c r="CY26" s="10">
        <f>SQRT((Animation!$N28-CW$9)^2+(Animation!$O28-CX$9)^2)</f>
        <v>4.6063234656786527</v>
      </c>
      <c r="CZ26" s="19">
        <f t="shared" si="63"/>
        <v>2.9255488862737421E-5</v>
      </c>
      <c r="DA26" s="10">
        <f t="shared" si="64"/>
        <v>5.5591518940357403E-2</v>
      </c>
      <c r="DB26" s="10">
        <f t="shared" si="65"/>
        <v>9.8499274485625577E-6</v>
      </c>
      <c r="DC26" s="10">
        <f t="shared" si="66"/>
        <v>5.5630624356668705E-2</v>
      </c>
      <c r="DD26" s="20">
        <f t="shared" si="67"/>
        <v>5.2588819918988428E-4</v>
      </c>
      <c r="DE26" s="11">
        <f t="shared" si="68"/>
        <v>0.9992970523562601</v>
      </c>
      <c r="DF26" s="11">
        <f t="shared" si="69"/>
        <v>1.7705944455001971E-4</v>
      </c>
      <c r="DG26" s="26"/>
      <c r="DH26" s="16">
        <f>SQRT((Animation!$N28-DH$7)^2+(Animation!$O28-DI$7)^2)</f>
        <v>4.3611238240135268</v>
      </c>
      <c r="DI26" s="10">
        <f>SQRT((Animation!$N28-DH$8)^2+(Animation!$O28-DI$8)^2)</f>
        <v>1.4769398600237755</v>
      </c>
      <c r="DJ26" s="10">
        <f>SQRT((Animation!$N28-DH$9)^2+(Animation!$O28-DI$9)^2)</f>
        <v>4.6768138210149592</v>
      </c>
      <c r="DK26" s="19">
        <f t="shared" si="70"/>
        <v>2.9573287973683466E-5</v>
      </c>
      <c r="DL26" s="10">
        <f t="shared" si="71"/>
        <v>0.13404037636404936</v>
      </c>
      <c r="DM26" s="10">
        <f t="shared" si="72"/>
        <v>7.1013028452288202E-6</v>
      </c>
      <c r="DN26" s="10">
        <f t="shared" si="73"/>
        <v>0.13407705095486827</v>
      </c>
      <c r="DO26" s="20">
        <f t="shared" si="74"/>
        <v>2.2056934996010722E-4</v>
      </c>
      <c r="DP26" s="11">
        <f t="shared" si="75"/>
        <v>0.99972646630756179</v>
      </c>
      <c r="DQ26" s="11">
        <f t="shared" si="76"/>
        <v>5.2964342478111283E-5</v>
      </c>
      <c r="DR26" s="26"/>
      <c r="DS26" s="16">
        <f>SQRT((Animation!$N28-DS$7)^2+(Animation!$O28-DT$7)^2)</f>
        <v>4.3625751483560755</v>
      </c>
      <c r="DT26" s="10">
        <f>SQRT((Animation!$N28-DS$8)^2+(Animation!$O28-DT$8)^2)</f>
        <v>1.3773057431125537</v>
      </c>
      <c r="DU26" s="10">
        <f>SQRT((Animation!$N28-DS$9)^2+(Animation!$O28-DT$9)^2)</f>
        <v>4.7032770987171846</v>
      </c>
      <c r="DV26" s="19">
        <f t="shared" si="77"/>
        <v>2.9386666828178429E-5</v>
      </c>
      <c r="DW26" s="10">
        <f t="shared" si="78"/>
        <v>0.15452118254206312</v>
      </c>
      <c r="DX26" s="10">
        <f t="shared" si="79"/>
        <v>6.2724328334410215E-6</v>
      </c>
      <c r="DY26" s="10">
        <f t="shared" si="80"/>
        <v>0.15455684164172473</v>
      </c>
      <c r="DZ26" s="20">
        <f t="shared" si="81"/>
        <v>1.9013501127500458E-4</v>
      </c>
      <c r="EA26" s="11">
        <f t="shared" si="82"/>
        <v>0.99976928164885603</v>
      </c>
      <c r="EB26" s="11">
        <f t="shared" si="83"/>
        <v>4.0583339869101545E-5</v>
      </c>
      <c r="EC26" s="26"/>
      <c r="ED26" s="16">
        <f>SQRT((Animation!$N28-ED$7)^2+(Animation!$O28-EE$7)^2)</f>
        <v>4.3665871085122125</v>
      </c>
      <c r="EE26" s="10">
        <f>SQRT((Animation!$N28-ED$8)^2+(Animation!$O28-EE$8)^2)</f>
        <v>1.3744789322570332</v>
      </c>
      <c r="EF26" s="10">
        <f>SQRT((Animation!$N28-ED$9)^2+(Animation!$O28-EE$9)^2)</f>
        <v>4.7175091090369241</v>
      </c>
      <c r="EG26" s="19">
        <f t="shared" si="84"/>
        <v>2.8876569913048855E-5</v>
      </c>
      <c r="EH26" s="10">
        <f t="shared" si="85"/>
        <v>0.15512334554539189</v>
      </c>
      <c r="EI26" s="10">
        <f t="shared" si="86"/>
        <v>5.8657240539019981E-6</v>
      </c>
      <c r="EJ26" s="10">
        <f t="shared" si="87"/>
        <v>0.15515808783935883</v>
      </c>
      <c r="EK26" s="20">
        <f t="shared" si="88"/>
        <v>1.8611063280791321E-4</v>
      </c>
      <c r="EL26" s="11">
        <f t="shared" si="89"/>
        <v>0.99977608454415279</v>
      </c>
      <c r="EM26" s="11">
        <f t="shared" si="90"/>
        <v>3.7804823039421629E-5</v>
      </c>
      <c r="EN26" s="26"/>
      <c r="EO26" s="16">
        <f>SQRT((Animation!$N28-EO$7)^2+(Animation!$O28-EP$7)^2)</f>
        <v>4.3703050814755331</v>
      </c>
      <c r="EP26" s="10">
        <f>SQRT((Animation!$N28-EO$8)^2+(Animation!$O28-EP$8)^2)</f>
        <v>1.3739942225370629</v>
      </c>
      <c r="EQ26" s="10">
        <f>SQRT((Animation!$N28-EO$9)^2+(Animation!$O28-EP$9)^2)</f>
        <v>4.7315161265717789</v>
      </c>
      <c r="ER26" s="19">
        <f t="shared" si="91"/>
        <v>2.8411351675065919E-5</v>
      </c>
      <c r="ES26" s="10">
        <f t="shared" si="92"/>
        <v>0.15522670853122358</v>
      </c>
      <c r="ET26" s="10">
        <f t="shared" si="93"/>
        <v>5.4901171646235426E-6</v>
      </c>
      <c r="EU26" s="10">
        <f t="shared" si="94"/>
        <v>0.15526061000006328</v>
      </c>
      <c r="EV26" s="20">
        <f t="shared" si="95"/>
        <v>1.8299136964008026E-4</v>
      </c>
      <c r="EW26" s="11">
        <f t="shared" si="96"/>
        <v>0.99978164797343205</v>
      </c>
      <c r="EX26" s="11">
        <f t="shared" si="97"/>
        <v>3.5360656927866672E-5</v>
      </c>
      <c r="EY26" s="26"/>
      <c r="EZ26" s="16">
        <f>SQRT((Animation!$N28-EZ$7)^2+(Animation!$O28-FA$7)^2)</f>
        <v>4.3727638986780812</v>
      </c>
      <c r="FA26" s="10">
        <f>SQRT((Animation!$N28-EZ$8)^2+(Animation!$O28-FA$8)^2)</f>
        <v>1.3737250317768879</v>
      </c>
      <c r="FB26" s="10">
        <f>SQRT((Animation!$N28-EZ$9)^2+(Animation!$O28-FA$9)^2)</f>
        <v>4.7437032632916285</v>
      </c>
      <c r="FC26" s="19">
        <f t="shared" si="98"/>
        <v>2.8107599032078502E-5</v>
      </c>
      <c r="FD26" s="10">
        <f t="shared" si="99"/>
        <v>0.1552841266909436</v>
      </c>
      <c r="FE26" s="10">
        <f t="shared" si="100"/>
        <v>5.1821068411825903E-6</v>
      </c>
      <c r="FF26" s="10">
        <f t="shared" si="101"/>
        <v>0.15531741639681687</v>
      </c>
      <c r="FG26" s="20">
        <f t="shared" si="102"/>
        <v>1.8096875214732551E-4</v>
      </c>
      <c r="FH26" s="11">
        <f t="shared" si="103"/>
        <v>0.99978566662615465</v>
      </c>
      <c r="FI26" s="11">
        <f t="shared" si="104"/>
        <v>3.3364621697948833E-5</v>
      </c>
      <c r="FJ26" s="26"/>
      <c r="FK26" s="16">
        <f>SQRT((Animation!$N28-FK$7)^2+(Animation!$O28-FL$7)^2)</f>
        <v>4.3739279436679945</v>
      </c>
      <c r="FL26" s="10">
        <f>SQRT((Animation!$N28-FK$8)^2+(Animation!$O28-FL$8)^2)</f>
        <v>1.3735783616914856</v>
      </c>
      <c r="FM26" s="10">
        <f>SQRT((Animation!$N28-FK$9)^2+(Animation!$O28-FL$9)^2)</f>
        <v>4.7529942905221327</v>
      </c>
      <c r="FN26" s="19">
        <f t="shared" si="105"/>
        <v>2.7964873270910305E-5</v>
      </c>
      <c r="FO26" s="10">
        <f t="shared" si="106"/>
        <v>0.15531541549661201</v>
      </c>
      <c r="FP26" s="10">
        <f t="shared" si="107"/>
        <v>4.958457288892495E-6</v>
      </c>
      <c r="FQ26" s="10">
        <f t="shared" si="108"/>
        <v>0.15534833882717183</v>
      </c>
      <c r="FR26" s="20">
        <f t="shared" si="109"/>
        <v>1.8001398329738042E-4</v>
      </c>
      <c r="FS26" s="11">
        <f t="shared" si="110"/>
        <v>0.99978806770121664</v>
      </c>
      <c r="FT26" s="11">
        <f t="shared" si="111"/>
        <v>3.1918315485876411E-5</v>
      </c>
      <c r="FU26" s="26"/>
      <c r="FV26" s="16">
        <f>SQRT((Animation!$N28-FV$7)^2+(Animation!$O28-FW$7)^2)</f>
        <v>4.374280570062627</v>
      </c>
      <c r="FW26" s="10">
        <f>SQRT((Animation!$N28-FV$8)^2+(Animation!$O28-FW$8)^2)</f>
        <v>1.3735061777439104</v>
      </c>
      <c r="FX26" s="10">
        <f>SQRT((Animation!$N28-FV$9)^2+(Animation!$O28-FW$9)^2)</f>
        <v>4.759374286615631</v>
      </c>
      <c r="FY26" s="19">
        <f t="shared" si="112"/>
        <v>2.7921772810204857E-5</v>
      </c>
      <c r="FZ26" s="10">
        <f t="shared" si="113"/>
        <v>0.15533081542674967</v>
      </c>
      <c r="GA26" s="10">
        <f t="shared" si="114"/>
        <v>4.810255613043541E-6</v>
      </c>
      <c r="GB26" s="10">
        <f t="shared" si="115"/>
        <v>0.15536354745517292</v>
      </c>
      <c r="GC26" s="20">
        <f t="shared" si="116"/>
        <v>1.7971894480757228E-4</v>
      </c>
      <c r="GD26" s="11">
        <f t="shared" si="117"/>
        <v>0.99978931976670593</v>
      </c>
      <c r="GE26" s="11">
        <f t="shared" si="118"/>
        <v>3.096128848648648E-5</v>
      </c>
      <c r="GF26" s="26"/>
      <c r="GG26" s="16">
        <f>SQRT((Animation!$N28-GG$7)^2+(Animation!$O28-GH$7)^2)</f>
        <v>4.3742856385826387</v>
      </c>
      <c r="GH26" s="10">
        <f>SQRT((Animation!$N28-GG$8)^2+(Animation!$O28-GH$8)^2)</f>
        <v>1.3734729423517629</v>
      </c>
      <c r="GI26" s="10">
        <f>SQRT((Animation!$N28-GG$9)^2+(Animation!$O28-GH$9)^2)</f>
        <v>4.7634599754122222</v>
      </c>
      <c r="GJ26" s="19">
        <f t="shared" si="119"/>
        <v>2.7921153759492883E-5</v>
      </c>
      <c r="GK26" s="10">
        <f t="shared" si="120"/>
        <v>0.15533790620174759</v>
      </c>
      <c r="GL26" s="10">
        <f t="shared" si="121"/>
        <v>4.717582829752099E-6</v>
      </c>
      <c r="GM26" s="10">
        <f t="shared" si="122"/>
        <v>0.15537054493833682</v>
      </c>
      <c r="GN26" s="20">
        <f t="shared" si="123"/>
        <v>1.7970686638560854E-4</v>
      </c>
      <c r="GO26" s="11">
        <f t="shared" si="124"/>
        <v>0.99978992970255598</v>
      </c>
      <c r="GP26" s="11">
        <f t="shared" si="125"/>
        <v>3.0363431058469959E-5</v>
      </c>
      <c r="GQ26" s="26"/>
      <c r="GR26" s="16">
        <f>SQRT((Animation!$N28-GR$7)^2+(Animation!$O28-GS$7)^2)</f>
        <v>4.3741959485535284</v>
      </c>
      <c r="GS26" s="10">
        <f>SQRT((Animation!$N28-GR$8)^2+(Animation!$O28-GS$8)^2)</f>
        <v>1.3734578785398726</v>
      </c>
      <c r="GT26" s="10">
        <f>SQRT((Animation!$N28-GR$9)^2+(Animation!$O28-GS$9)^2)</f>
        <v>4.7659674141002926</v>
      </c>
      <c r="GU26" s="19">
        <f t="shared" si="126"/>
        <v>2.7932110097121188E-5</v>
      </c>
      <c r="GV26" s="10">
        <f t="shared" si="127"/>
        <v>0.15534112011795734</v>
      </c>
      <c r="GW26" s="10">
        <f t="shared" si="128"/>
        <v>4.6615561428477655E-6</v>
      </c>
      <c r="GX26" s="10">
        <f t="shared" si="129"/>
        <v>0.15537371378419731</v>
      </c>
      <c r="GY26" s="20">
        <f t="shared" si="130"/>
        <v>1.7977371729633004E-4</v>
      </c>
      <c r="GZ26" s="11">
        <f t="shared" si="131"/>
        <v>0.99979022406399287</v>
      </c>
      <c r="HA26" s="11">
        <f t="shared" si="132"/>
        <v>3.0002218710703697E-5</v>
      </c>
      <c r="HB26" s="26"/>
      <c r="HC26" s="16">
        <f>SQRT((Animation!$N28-HC$7)^2+(Animation!$O28-HD$7)^2)</f>
        <v>4.3741069596816438</v>
      </c>
      <c r="HD26" s="10">
        <f>SQRT((Animation!$N28-HC$8)^2+(Animation!$O28-HD$8)^2)</f>
        <v>1.3734508792986002</v>
      </c>
      <c r="HE26" s="10">
        <f>SQRT((Animation!$N28-HC$9)^2+(Animation!$O28-HD$9)^2)</f>
        <v>4.7674682715578447</v>
      </c>
      <c r="HF26" s="19">
        <f t="shared" si="133"/>
        <v>2.7942984809773855E-5</v>
      </c>
      <c r="HG26" s="10">
        <f t="shared" si="134"/>
        <v>0.1553426134408491</v>
      </c>
      <c r="HH26" s="10">
        <f t="shared" si="135"/>
        <v>4.6283256156567754E-6</v>
      </c>
      <c r="HI26" s="10">
        <f t="shared" si="136"/>
        <v>0.15537518475127451</v>
      </c>
      <c r="HJ26" s="20">
        <f t="shared" si="137"/>
        <v>1.7984200536594788E-4</v>
      </c>
      <c r="HK26" s="11">
        <f t="shared" si="138"/>
        <v>0.99979036993276915</v>
      </c>
      <c r="HL26" s="11">
        <f t="shared" si="139"/>
        <v>2.9788061865000034E-5</v>
      </c>
      <c r="HM26" s="26"/>
      <c r="HN26" s="16">
        <f>SQRT((Animation!$N28-HN$7)^2+(Animation!$O28-HO$7)^2)</f>
        <v>4.3740417795027557</v>
      </c>
      <c r="HO26" s="10">
        <f>SQRT((Animation!$N28-HN$8)^2+(Animation!$O28-HO$8)^2)</f>
        <v>1.3734474743131926</v>
      </c>
      <c r="HP26" s="10">
        <f>SQRT((Animation!$N28-HN$9)^2+(Animation!$O28-HO$9)^2)</f>
        <v>4.7683536897601222</v>
      </c>
      <c r="HQ26" s="19">
        <f t="shared" si="140"/>
        <v>2.7950952572933983E-5</v>
      </c>
      <c r="HR26" s="10">
        <f t="shared" si="141"/>
        <v>0.15534333991383784</v>
      </c>
      <c r="HS26" s="10">
        <f t="shared" si="142"/>
        <v>4.6088278833201025E-6</v>
      </c>
      <c r="HT26" s="10">
        <f t="shared" si="143"/>
        <v>0.15537589969429408</v>
      </c>
      <c r="HU26" s="20">
        <f t="shared" si="144"/>
        <v>1.798924584052493E-4</v>
      </c>
      <c r="HV26" s="11">
        <f t="shared" si="145"/>
        <v>0.99979044510429027</v>
      </c>
      <c r="HW26" s="11">
        <f t="shared" si="146"/>
        <v>2.9662437304550354E-5</v>
      </c>
    </row>
    <row r="27" spans="2:231" x14ac:dyDescent="0.25">
      <c r="H27" s="21" t="s">
        <v>19</v>
      </c>
      <c r="I27" s="22">
        <f>SUM(I17:I26)</f>
        <v>4.087630331574986</v>
      </c>
      <c r="J27" s="22">
        <f>SUM(J17:J26)</f>
        <v>5.8585360221733405</v>
      </c>
      <c r="K27" s="22">
        <f>SUM(K17:K26)</f>
        <v>5.3833646251672931E-2</v>
      </c>
      <c r="L27" s="1"/>
      <c r="S27" s="21" t="s">
        <v>19</v>
      </c>
      <c r="T27" s="22">
        <f>SUM(T17:T26)</f>
        <v>3.7719905132180074</v>
      </c>
      <c r="U27" s="22">
        <f>SUM(U17:U26)</f>
        <v>3.9709568269972033</v>
      </c>
      <c r="V27" s="22">
        <f>SUM(V17:V26)</f>
        <v>2.2570526597847889</v>
      </c>
      <c r="W27" s="1"/>
      <c r="AD27" s="21" t="s">
        <v>19</v>
      </c>
      <c r="AE27" s="22">
        <f>SUM(AE17:AE26)</f>
        <v>3.3370190727342703</v>
      </c>
      <c r="AF27" s="22">
        <f>SUM(AF17:AF26)</f>
        <v>3.7960727814803628</v>
      </c>
      <c r="AG27" s="22">
        <f>SUM(AG17:AG26)</f>
        <v>2.8669081457853673</v>
      </c>
      <c r="AH27" s="26"/>
      <c r="AO27" s="21" t="s">
        <v>19</v>
      </c>
      <c r="AP27" s="22">
        <f>SUM(AP17:AP26)</f>
        <v>3.1253783211929607</v>
      </c>
      <c r="AQ27" s="22">
        <f>SUM(AQ17:AQ26)</f>
        <v>3.809603343151255</v>
      </c>
      <c r="AR27" s="22">
        <f>SUM(AR17:AR26)</f>
        <v>3.0650183356557834</v>
      </c>
      <c r="AS27" s="26"/>
      <c r="AZ27" s="21" t="s">
        <v>19</v>
      </c>
      <c r="BA27" s="22">
        <f>SUM(BA17:BA26)</f>
        <v>2.8458689033005435</v>
      </c>
      <c r="BB27" s="22">
        <f>SUM(BB17:BB26)</f>
        <v>4.0531369331996583</v>
      </c>
      <c r="BC27" s="22">
        <f>SUM(BC17:BC26)</f>
        <v>3.1009941634997986</v>
      </c>
      <c r="BD27" s="26"/>
      <c r="BK27" s="21" t="s">
        <v>19</v>
      </c>
      <c r="BL27" s="22">
        <f>SUM(BL17:BL26)</f>
        <v>2.8248782905331864</v>
      </c>
      <c r="BM27" s="22">
        <f>SUM(BM17:BM26)</f>
        <v>4.0608926163014711</v>
      </c>
      <c r="BN27" s="22">
        <f>SUM(BN17:BN26)</f>
        <v>3.1142290931653429</v>
      </c>
      <c r="BO27" s="26"/>
      <c r="BV27" s="21" t="s">
        <v>19</v>
      </c>
      <c r="BW27" s="22">
        <f>SUM(BW17:BW26)</f>
        <v>2.8927421644220304</v>
      </c>
      <c r="BX27" s="22">
        <f>SUM(BX17:BX26)</f>
        <v>3.9431968171109544</v>
      </c>
      <c r="BY27" s="22">
        <f>SUM(BY17:BY26)</f>
        <v>3.1640610184670166</v>
      </c>
      <c r="BZ27" s="26"/>
      <c r="CG27" s="21" t="s">
        <v>19</v>
      </c>
      <c r="CH27" s="22">
        <f>SUM(CH17:CH26)</f>
        <v>2.954417296466727</v>
      </c>
      <c r="CI27" s="22">
        <f>SUM(CI17:CI26)</f>
        <v>3.7878574143245118</v>
      </c>
      <c r="CJ27" s="22">
        <f>SUM(CJ17:CJ26)</f>
        <v>3.2577252892087611</v>
      </c>
      <c r="CK27" s="26"/>
      <c r="CR27" s="21" t="s">
        <v>19</v>
      </c>
      <c r="CS27" s="22">
        <f>SUM(CS17:CS26)</f>
        <v>3.0246364613458052</v>
      </c>
      <c r="CT27" s="22">
        <f>SUM(CT17:CT26)</f>
        <v>3.4784559369792225</v>
      </c>
      <c r="CU27" s="22">
        <f>SUM(CU17:CU26)</f>
        <v>3.4969076016749723</v>
      </c>
      <c r="CV27" s="26"/>
      <c r="DC27" s="21" t="s">
        <v>19</v>
      </c>
      <c r="DD27" s="22">
        <f>SUM(DD17:DD26)</f>
        <v>3.1425759317036048</v>
      </c>
      <c r="DE27" s="22">
        <f>SUM(DE17:DE26)</f>
        <v>3.0701392665389644</v>
      </c>
      <c r="DF27" s="22">
        <f>SUM(DF17:DF26)</f>
        <v>3.7872848017574303</v>
      </c>
      <c r="DG27" s="26"/>
      <c r="DN27" s="21" t="s">
        <v>19</v>
      </c>
      <c r="DO27" s="22">
        <f>SUM(DO17:DO26)</f>
        <v>3.3440560904332037</v>
      </c>
      <c r="DP27" s="22">
        <f>SUM(DP17:DP26)</f>
        <v>2.9936514602534521</v>
      </c>
      <c r="DQ27" s="22">
        <f>SUM(DQ17:DQ26)</f>
        <v>3.6622924493133442</v>
      </c>
      <c r="DR27" s="26"/>
      <c r="DY27" s="21" t="s">
        <v>19</v>
      </c>
      <c r="DZ27" s="22">
        <f>SUM(DZ17:DZ26)</f>
        <v>3.5233495953591696</v>
      </c>
      <c r="EA27" s="22">
        <f>SUM(EA17:EA26)</f>
        <v>2.9895864823116738</v>
      </c>
      <c r="EB27" s="22">
        <f>SUM(EB17:EB26)</f>
        <v>3.4870639223291571</v>
      </c>
      <c r="EC27" s="26"/>
      <c r="EJ27" s="21" t="s">
        <v>19</v>
      </c>
      <c r="EK27" s="22">
        <f>SUM(EK17:EK26)</f>
        <v>3.6640256958358508</v>
      </c>
      <c r="EL27" s="22">
        <f>SUM(EL17:EL26)</f>
        <v>2.9884686214246239</v>
      </c>
      <c r="EM27" s="22">
        <f>SUM(EM17:EM26)</f>
        <v>3.3475056827395258</v>
      </c>
      <c r="EN27" s="26"/>
      <c r="EU27" s="21" t="s">
        <v>19</v>
      </c>
      <c r="EV27" s="22">
        <f>SUM(EV17:EV26)</f>
        <v>3.7673406187312488</v>
      </c>
      <c r="EW27" s="22">
        <f>SUM(EW17:EW26)</f>
        <v>2.9877684229522972</v>
      </c>
      <c r="EX27" s="22">
        <f>SUM(EX17:EX26)</f>
        <v>3.244890958316454</v>
      </c>
      <c r="EY27" s="26"/>
      <c r="FF27" s="21" t="s">
        <v>19</v>
      </c>
      <c r="FG27" s="22">
        <f>SUM(FG17:FG26)</f>
        <v>3.8375557089468204</v>
      </c>
      <c r="FH27" s="22">
        <f>SUM(FH17:FH26)</f>
        <v>2.9873533152639888</v>
      </c>
      <c r="FI27" s="22">
        <f>SUM(FI17:FI26)</f>
        <v>3.1750909757891899</v>
      </c>
      <c r="FJ27" s="26"/>
      <c r="FQ27" s="21" t="s">
        <v>19</v>
      </c>
      <c r="FR27" s="22">
        <f>SUM(FR17:FR26)</f>
        <v>3.8824003455036089</v>
      </c>
      <c r="FS27" s="22">
        <f>SUM(FS17:FS26)</f>
        <v>2.987134191502006</v>
      </c>
      <c r="FT27" s="22">
        <f>SUM(FT17:FT26)</f>
        <v>3.1304654629943851</v>
      </c>
      <c r="FU27" s="26"/>
      <c r="GB27" s="21" t="s">
        <v>19</v>
      </c>
      <c r="GC27" s="22">
        <f>SUM(GC17:GC26)</f>
        <v>3.9098907375844432</v>
      </c>
      <c r="GD27" s="22">
        <f>SUM(GD17:GD26)</f>
        <v>2.9870269335280009</v>
      </c>
      <c r="GE27" s="22">
        <f>SUM(GE17:GE26)</f>
        <v>3.103082328887556</v>
      </c>
      <c r="GF27" s="26"/>
      <c r="GM27" s="21" t="s">
        <v>19</v>
      </c>
      <c r="GN27" s="22">
        <f>SUM(GN17:GN26)</f>
        <v>3.9263321160918614</v>
      </c>
      <c r="GO27" s="22">
        <f>SUM(GO17:GO26)</f>
        <v>2.9869755804060079</v>
      </c>
      <c r="GP27" s="22">
        <f>SUM(GP17:GP26)</f>
        <v>3.0866923035021308</v>
      </c>
      <c r="GQ27" s="26"/>
      <c r="GX27" s="21" t="s">
        <v>19</v>
      </c>
      <c r="GY27" s="22">
        <f>SUM(GY17:GY26)</f>
        <v>3.9360256919192356</v>
      </c>
      <c r="GZ27" s="22">
        <f>SUM(GZ17:GZ26)</f>
        <v>2.9869505442377773</v>
      </c>
      <c r="HA27" s="22">
        <f>SUM(HA17:HA26)</f>
        <v>3.0770237638429867</v>
      </c>
      <c r="HB27" s="26"/>
      <c r="HI27" s="21" t="s">
        <v>19</v>
      </c>
      <c r="HJ27" s="22">
        <f>SUM(HJ17:HJ26)</f>
        <v>3.9416941806347268</v>
      </c>
      <c r="HK27" s="22">
        <f>SUM(HK17:HK26)</f>
        <v>2.9869378730227991</v>
      </c>
      <c r="HL27" s="22">
        <f>SUM(HL17:HL26)</f>
        <v>3.071367946342475</v>
      </c>
      <c r="HM27" s="26"/>
      <c r="HT27" s="21" t="s">
        <v>19</v>
      </c>
      <c r="HU27" s="22">
        <f>SUM(HU17:HU26)</f>
        <v>3.9449933841833493</v>
      </c>
      <c r="HV27" s="22">
        <f>SUM(HV17:HV26)</f>
        <v>2.9869312018143859</v>
      </c>
      <c r="HW27" s="22">
        <f>SUM(HW17:HW26)</f>
        <v>3.0680754140022639</v>
      </c>
    </row>
    <row r="28" spans="2:231" x14ac:dyDescent="0.25">
      <c r="L28" s="1"/>
      <c r="W28" s="1"/>
      <c r="AH28" s="26"/>
      <c r="AS28" s="26"/>
      <c r="BD28" s="26"/>
      <c r="BO28" s="26"/>
      <c r="BZ28" s="26"/>
      <c r="CK28" s="26"/>
      <c r="CV28" s="26"/>
      <c r="DG28" s="26"/>
      <c r="DR28" s="26"/>
      <c r="EC28" s="26"/>
      <c r="EN28" s="26"/>
      <c r="EY28" s="26"/>
      <c r="FJ28" s="26"/>
      <c r="FU28" s="26"/>
      <c r="GF28" s="26"/>
      <c r="GQ28" s="26"/>
      <c r="HB28" s="26"/>
      <c r="HM28" s="26"/>
    </row>
    <row r="29" spans="2:231" x14ac:dyDescent="0.25">
      <c r="L29" s="1"/>
      <c r="W29" s="1"/>
      <c r="AH29" s="26"/>
      <c r="AS29" s="26"/>
      <c r="BD29" s="26"/>
      <c r="BO29" s="26"/>
    </row>
    <row r="30" spans="2:231" x14ac:dyDescent="0.25">
      <c r="L30" s="1"/>
      <c r="W30" s="1"/>
      <c r="AH30" s="26"/>
      <c r="AS30" s="26"/>
      <c r="BD30" s="26"/>
      <c r="BO30" s="26"/>
    </row>
    <row r="31" spans="2:231" x14ac:dyDescent="0.25">
      <c r="L31" s="1"/>
      <c r="W31" s="1"/>
      <c r="AH31" s="26"/>
      <c r="AS31" s="26"/>
      <c r="BD31" s="26"/>
      <c r="BO31" s="26"/>
    </row>
    <row r="32" spans="2:231" x14ac:dyDescent="0.25">
      <c r="L32" s="1"/>
      <c r="W32" s="1"/>
      <c r="AH32" s="26"/>
      <c r="AS32" s="26"/>
      <c r="BD32" s="26"/>
      <c r="BO32" s="26"/>
    </row>
    <row r="33" spans="12:67" x14ac:dyDescent="0.25">
      <c r="L33" s="1"/>
      <c r="W33" s="1"/>
      <c r="AH33" s="26"/>
      <c r="AS33" s="26"/>
      <c r="BD33" s="26"/>
      <c r="BO33" s="26"/>
    </row>
    <row r="34" spans="12:67" x14ac:dyDescent="0.25">
      <c r="L34" s="1"/>
      <c r="W34" s="1"/>
      <c r="AH34" s="26"/>
      <c r="AS34" s="26"/>
      <c r="BD34" s="26"/>
      <c r="BO34" s="26"/>
    </row>
    <row r="35" spans="12:67" x14ac:dyDescent="0.25">
      <c r="L35" s="1"/>
      <c r="W35" s="1"/>
      <c r="AH35" s="26"/>
      <c r="AS35" s="26"/>
      <c r="BD35" s="26"/>
      <c r="BO35" s="26"/>
    </row>
    <row r="36" spans="12:67" x14ac:dyDescent="0.25">
      <c r="L36" s="1"/>
      <c r="W36" s="1"/>
      <c r="AH36" s="26"/>
      <c r="AS36" s="26"/>
      <c r="BD36" s="26"/>
      <c r="BO36" s="26"/>
    </row>
    <row r="37" spans="12:67" x14ac:dyDescent="0.25">
      <c r="L37" s="1"/>
      <c r="W37" s="1"/>
      <c r="AH37" s="26"/>
      <c r="AS37" s="26"/>
      <c r="BD37" s="26"/>
      <c r="BO37" s="26"/>
    </row>
    <row r="38" spans="12:67" x14ac:dyDescent="0.25">
      <c r="L38" s="1"/>
      <c r="W38" s="1"/>
      <c r="AH38" s="26"/>
      <c r="AS38" s="26"/>
      <c r="BD38" s="26"/>
      <c r="BO38" s="26"/>
    </row>
    <row r="39" spans="12:67" x14ac:dyDescent="0.25">
      <c r="L39" s="1"/>
      <c r="W39" s="1"/>
      <c r="AH39" s="26"/>
      <c r="AS39" s="26"/>
      <c r="BD39" s="26"/>
      <c r="BO39" s="26"/>
    </row>
    <row r="40" spans="12:67" x14ac:dyDescent="0.25">
      <c r="L40" s="1"/>
      <c r="W40" s="1"/>
      <c r="AH40" s="26"/>
      <c r="AS40" s="26"/>
      <c r="BD40" s="26"/>
      <c r="BO40" s="26"/>
    </row>
    <row r="41" spans="12:67" x14ac:dyDescent="0.25">
      <c r="L41" s="1"/>
      <c r="W41" s="1"/>
      <c r="AH41" s="26"/>
      <c r="AS41" s="26"/>
      <c r="BD41" s="26"/>
      <c r="BO41" s="26"/>
    </row>
    <row r="42" spans="12:67" x14ac:dyDescent="0.25">
      <c r="L42" s="1"/>
      <c r="W42" s="1"/>
      <c r="AH42" s="26"/>
      <c r="AS42" s="26"/>
      <c r="BD42" s="26"/>
      <c r="BO42" s="26"/>
    </row>
    <row r="43" spans="12:67" x14ac:dyDescent="0.25">
      <c r="L43" s="1"/>
      <c r="W43" s="1"/>
      <c r="AH43" s="26"/>
      <c r="AS43" s="26"/>
      <c r="BD43" s="26"/>
      <c r="BO43" s="26"/>
    </row>
    <row r="44" spans="12:67" x14ac:dyDescent="0.25">
      <c r="L44" s="1"/>
      <c r="W44" s="1"/>
      <c r="AH44" s="26"/>
      <c r="AS44" s="26"/>
      <c r="BD44" s="26"/>
      <c r="BO44" s="26"/>
    </row>
    <row r="45" spans="12:67" x14ac:dyDescent="0.25">
      <c r="L45" s="1"/>
      <c r="W45" s="1"/>
      <c r="AH45" s="26"/>
      <c r="AS45" s="26"/>
      <c r="BD45" s="26"/>
      <c r="BO45" s="26"/>
    </row>
    <row r="46" spans="12:67" x14ac:dyDescent="0.25">
      <c r="L46" s="1"/>
      <c r="W46" s="1"/>
      <c r="AH46" s="26"/>
      <c r="AS46" s="26"/>
      <c r="BD46" s="26"/>
      <c r="BO46" s="26"/>
    </row>
    <row r="47" spans="12:67" x14ac:dyDescent="0.25">
      <c r="L47" s="1"/>
      <c r="W47" s="1"/>
      <c r="AH47" s="26"/>
      <c r="AS47" s="26"/>
      <c r="BD47" s="26"/>
      <c r="BO47" s="26"/>
    </row>
    <row r="48" spans="12:67" x14ac:dyDescent="0.25">
      <c r="L48" s="1"/>
      <c r="W48" s="1"/>
      <c r="AH48" s="26"/>
      <c r="AS48" s="26"/>
      <c r="BD48" s="26"/>
      <c r="BO48" s="26"/>
    </row>
    <row r="49" spans="1:67" x14ac:dyDescent="0.25">
      <c r="L49" s="1"/>
      <c r="W49" s="1"/>
      <c r="AH49" s="26"/>
      <c r="AS49" s="26"/>
      <c r="BD49" s="26"/>
      <c r="BO49" s="26"/>
    </row>
    <row r="50" spans="1:67" x14ac:dyDescent="0.25">
      <c r="L50" s="1"/>
      <c r="W50" s="1"/>
      <c r="AH50" s="26"/>
      <c r="AS50" s="26"/>
      <c r="BD50" s="26"/>
      <c r="BO50" s="26"/>
    </row>
    <row r="51" spans="1:67" x14ac:dyDescent="0.25">
      <c r="A51" s="2"/>
      <c r="B51" s="2"/>
      <c r="C51" s="2"/>
      <c r="D51" s="2"/>
      <c r="E51" s="2"/>
      <c r="L51" s="1"/>
      <c r="M51" s="2"/>
      <c r="N51" s="2"/>
      <c r="O51" s="2"/>
      <c r="W51" s="1"/>
      <c r="X51" s="2"/>
      <c r="Y51" s="2"/>
      <c r="Z51" s="2"/>
      <c r="AH51" s="26"/>
      <c r="AI51" s="2"/>
      <c r="AJ51" s="2"/>
      <c r="AK51" s="2"/>
      <c r="AS51" s="26"/>
      <c r="AT51" s="2"/>
      <c r="AU51" s="2"/>
      <c r="AV51" s="2"/>
      <c r="BD51" s="26"/>
      <c r="BE51" s="2"/>
      <c r="BF51" s="2"/>
      <c r="BG51" s="2"/>
      <c r="BO51" s="26"/>
    </row>
    <row r="52" spans="1:67" x14ac:dyDescent="0.25">
      <c r="A52" s="68">
        <v>0</v>
      </c>
      <c r="B52" s="79" t="s">
        <v>20</v>
      </c>
      <c r="C52" s="80"/>
      <c r="D52" s="80"/>
      <c r="E52" s="75" t="s">
        <v>30</v>
      </c>
      <c r="F52" s="83"/>
      <c r="G52" s="83"/>
      <c r="H52" s="83"/>
      <c r="I52" s="83"/>
      <c r="J52" s="83"/>
      <c r="K52" s="83"/>
      <c r="L52" s="68">
        <f>A52+1</f>
        <v>1</v>
      </c>
      <c r="M52" s="79" t="s">
        <v>31</v>
      </c>
      <c r="N52" s="80"/>
      <c r="O52" s="80"/>
      <c r="P52" s="75" t="s">
        <v>29</v>
      </c>
      <c r="Q52" s="83"/>
      <c r="R52" s="83"/>
      <c r="S52" s="83"/>
      <c r="T52" s="83"/>
      <c r="U52" s="83"/>
      <c r="V52" s="83"/>
      <c r="W52" s="68">
        <f>L52+1</f>
        <v>2</v>
      </c>
      <c r="X52" s="79" t="s">
        <v>20</v>
      </c>
      <c r="Y52" s="80"/>
      <c r="Z52" s="80"/>
      <c r="AH52" s="68">
        <f>W52+1</f>
        <v>3</v>
      </c>
      <c r="AI52" s="79" t="s">
        <v>20</v>
      </c>
      <c r="AJ52" s="80"/>
      <c r="AK52" s="80"/>
      <c r="AS52" s="68">
        <f>AH52+1</f>
        <v>4</v>
      </c>
      <c r="AT52" s="79" t="s">
        <v>20</v>
      </c>
      <c r="AU52" s="80"/>
      <c r="AV52" s="80"/>
      <c r="BD52" s="68">
        <f>AS52+1</f>
        <v>5</v>
      </c>
      <c r="BE52" s="79" t="s">
        <v>20</v>
      </c>
      <c r="BF52" s="80"/>
      <c r="BG52" s="80"/>
    </row>
    <row r="53" spans="1:67" ht="12.75" customHeight="1" x14ac:dyDescent="0.25">
      <c r="A53" s="68"/>
      <c r="B53" s="79"/>
      <c r="C53" s="80"/>
      <c r="D53" s="80"/>
      <c r="E53" s="83"/>
      <c r="F53" s="83"/>
      <c r="G53" s="83"/>
      <c r="H53" s="83"/>
      <c r="I53" s="83"/>
      <c r="J53" s="83"/>
      <c r="K53" s="83"/>
      <c r="L53" s="68"/>
      <c r="M53" s="79"/>
      <c r="N53" s="80"/>
      <c r="O53" s="80"/>
      <c r="P53" s="83"/>
      <c r="Q53" s="83"/>
      <c r="R53" s="83"/>
      <c r="S53" s="83"/>
      <c r="T53" s="83"/>
      <c r="U53" s="83"/>
      <c r="V53" s="83"/>
      <c r="W53" s="68"/>
      <c r="X53" s="79"/>
      <c r="Y53" s="80"/>
      <c r="Z53" s="80"/>
      <c r="AH53" s="68"/>
      <c r="AI53" s="79"/>
      <c r="AJ53" s="80"/>
      <c r="AK53" s="80"/>
      <c r="AS53" s="68"/>
      <c r="AT53" s="79"/>
      <c r="AU53" s="80"/>
      <c r="AV53" s="80"/>
      <c r="BD53" s="68"/>
      <c r="BE53" s="79"/>
      <c r="BF53" s="80"/>
      <c r="BG53" s="80"/>
    </row>
    <row r="54" spans="1:67" ht="12.75" customHeight="1" x14ac:dyDescent="0.25">
      <c r="A54" s="68"/>
      <c r="B54" s="80"/>
      <c r="C54" s="80"/>
      <c r="D54" s="80"/>
      <c r="E54" s="83"/>
      <c r="F54" s="83"/>
      <c r="G54" s="83"/>
      <c r="H54" s="83"/>
      <c r="I54" s="83"/>
      <c r="J54" s="83"/>
      <c r="K54" s="83"/>
      <c r="L54" s="81"/>
      <c r="M54" s="82"/>
      <c r="N54" s="82"/>
      <c r="O54" s="82"/>
      <c r="P54" s="83"/>
      <c r="Q54" s="83"/>
      <c r="R54" s="83"/>
      <c r="S54" s="83"/>
      <c r="T54" s="83"/>
      <c r="U54" s="83"/>
      <c r="V54" s="83"/>
      <c r="W54" s="81"/>
      <c r="X54" s="82"/>
      <c r="Y54" s="82"/>
      <c r="Z54" s="82"/>
      <c r="AH54" s="81"/>
      <c r="AI54" s="82"/>
      <c r="AJ54" s="82"/>
      <c r="AK54" s="82"/>
      <c r="AS54" s="81"/>
      <c r="AT54" s="82"/>
      <c r="AU54" s="82"/>
      <c r="AV54" s="82"/>
      <c r="BD54" s="81"/>
      <c r="BE54" s="82"/>
      <c r="BF54" s="82"/>
      <c r="BG54" s="82"/>
    </row>
    <row r="55" spans="1:67" ht="12.75" customHeight="1" x14ac:dyDescent="0.25">
      <c r="E55" s="78"/>
      <c r="F55" s="78"/>
      <c r="G55" s="78"/>
      <c r="H55" s="78"/>
      <c r="I55" s="78"/>
      <c r="J55" s="78"/>
      <c r="K55" s="78"/>
      <c r="P55" s="78"/>
      <c r="Q55" s="78"/>
      <c r="R55" s="78"/>
      <c r="S55" s="78"/>
      <c r="T55" s="78"/>
      <c r="U55" s="78"/>
      <c r="V55" s="78"/>
    </row>
    <row r="56" spans="1:67" x14ac:dyDescent="0.25">
      <c r="E56" s="78"/>
      <c r="F56" s="78"/>
      <c r="G56" s="78"/>
      <c r="H56" s="78"/>
      <c r="I56" s="78"/>
      <c r="J56" s="78"/>
      <c r="K56" s="78"/>
      <c r="P56" s="78"/>
      <c r="Q56" s="78"/>
      <c r="R56" s="78"/>
      <c r="S56" s="78"/>
      <c r="T56" s="78"/>
      <c r="U56" s="78"/>
      <c r="V56" s="78"/>
    </row>
  </sheetData>
  <mergeCells count="80">
    <mergeCell ref="W52:W54"/>
    <mergeCell ref="W11:W13"/>
    <mergeCell ref="AT52:AV54"/>
    <mergeCell ref="AA6:AB6"/>
    <mergeCell ref="AL6:AM6"/>
    <mergeCell ref="X11:Z13"/>
    <mergeCell ref="X52:Z54"/>
    <mergeCell ref="AW6:AX6"/>
    <mergeCell ref="AH52:AH54"/>
    <mergeCell ref="AI52:AK54"/>
    <mergeCell ref="AH11:AH13"/>
    <mergeCell ref="AI11:AK13"/>
    <mergeCell ref="AS11:AS13"/>
    <mergeCell ref="AT11:AV13"/>
    <mergeCell ref="AS52:AS54"/>
    <mergeCell ref="E52:K56"/>
    <mergeCell ref="B11:D13"/>
    <mergeCell ref="L1:U3"/>
    <mergeCell ref="E6:F6"/>
    <mergeCell ref="A1:H2"/>
    <mergeCell ref="A3:H3"/>
    <mergeCell ref="A11:A13"/>
    <mergeCell ref="A52:A54"/>
    <mergeCell ref="B52:D54"/>
    <mergeCell ref="L11:L13"/>
    <mergeCell ref="M11:O13"/>
    <mergeCell ref="M52:O54"/>
    <mergeCell ref="P52:V56"/>
    <mergeCell ref="L52:L54"/>
    <mergeCell ref="P6:Q6"/>
    <mergeCell ref="BD52:BD54"/>
    <mergeCell ref="BE52:BG54"/>
    <mergeCell ref="BP11:BR13"/>
    <mergeCell ref="BD11:BD13"/>
    <mergeCell ref="BE11:BG13"/>
    <mergeCell ref="BS6:BT6"/>
    <mergeCell ref="BH6:BI6"/>
    <mergeCell ref="CD6:CE6"/>
    <mergeCell ref="BZ11:BZ13"/>
    <mergeCell ref="CA11:CC13"/>
    <mergeCell ref="BO11:BO13"/>
    <mergeCell ref="CO6:CP6"/>
    <mergeCell ref="CK11:CK13"/>
    <mergeCell ref="CL11:CN13"/>
    <mergeCell ref="CZ6:DA6"/>
    <mergeCell ref="CV11:CV13"/>
    <mergeCell ref="CW11:CY13"/>
    <mergeCell ref="DK6:DL6"/>
    <mergeCell ref="DG11:DG13"/>
    <mergeCell ref="DH11:DJ13"/>
    <mergeCell ref="DV6:DW6"/>
    <mergeCell ref="DR11:DR13"/>
    <mergeCell ref="DS11:DU13"/>
    <mergeCell ref="EG6:EH6"/>
    <mergeCell ref="EC11:EC13"/>
    <mergeCell ref="ED11:EF13"/>
    <mergeCell ref="ER6:ES6"/>
    <mergeCell ref="EN11:EN13"/>
    <mergeCell ref="EO11:EQ13"/>
    <mergeCell ref="FC6:FD6"/>
    <mergeCell ref="EY11:EY13"/>
    <mergeCell ref="EZ11:FB13"/>
    <mergeCell ref="FN6:FO6"/>
    <mergeCell ref="FJ11:FJ13"/>
    <mergeCell ref="FK11:FM13"/>
    <mergeCell ref="FY6:FZ6"/>
    <mergeCell ref="FU11:FU13"/>
    <mergeCell ref="FV11:FX13"/>
    <mergeCell ref="GJ6:GK6"/>
    <mergeCell ref="GF11:GF13"/>
    <mergeCell ref="GG11:GI13"/>
    <mergeCell ref="HQ6:HR6"/>
    <mergeCell ref="HM11:HM13"/>
    <mergeCell ref="HN11:HP13"/>
    <mergeCell ref="GU6:GV6"/>
    <mergeCell ref="GQ11:GQ13"/>
    <mergeCell ref="GR11:GT13"/>
    <mergeCell ref="HF6:HG6"/>
    <mergeCell ref="HB11:HB13"/>
    <mergeCell ref="HC11:HE13"/>
  </mergeCells>
  <phoneticPr fontId="0"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2</vt:i4>
      </vt:variant>
    </vt:vector>
  </HeadingPairs>
  <TitlesOfParts>
    <vt:vector size="2" baseType="lpstr">
      <vt:lpstr>Animation</vt:lpstr>
      <vt:lpstr>Calculation</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Eisner</dc:creator>
  <cp:lastModifiedBy>Jason</cp:lastModifiedBy>
  <dcterms:created xsi:type="dcterms:W3CDTF">2002-11-20T00:55:32Z</dcterms:created>
  <dcterms:modified xsi:type="dcterms:W3CDTF">2016-10-28T02:52:51Z</dcterms:modified>
</cp:coreProperties>
</file>